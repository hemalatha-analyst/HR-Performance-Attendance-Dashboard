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Hemal\Downloads\"/>
    </mc:Choice>
  </mc:AlternateContent>
  <xr:revisionPtr revIDLastSave="0" documentId="8_{513D739D-2F63-404E-9D7B-5E7E1CAD6FDC}" xr6:coauthVersionLast="47" xr6:coauthVersionMax="47" xr10:uidLastSave="{00000000-0000-0000-0000-000000000000}"/>
  <bookViews>
    <workbookView xWindow="-108" yWindow="-108" windowWidth="23256" windowHeight="12456" tabRatio="902" activeTab="5" xr2:uid="{283EC943-0E3B-49DB-A2AC-6268424EDFFA}"/>
  </bookViews>
  <sheets>
    <sheet name="Raw_Data" sheetId="1" r:id="rId1"/>
    <sheet name="Cleaned_Data " sheetId="2" r:id="rId2"/>
    <sheet name="Performance Calculation" sheetId="3" r:id="rId3"/>
    <sheet name="KPI_Summary" sheetId="4" r:id="rId4"/>
    <sheet name="Department Performance Pivot" sheetId="6" r:id="rId5"/>
    <sheet name="Dashboard" sheetId="11" r:id="rId6"/>
  </sheets>
  <definedNames>
    <definedName name="Slicer_Attendance_Status">#N/A</definedName>
    <definedName name="Slicer_Department">#N/A</definedName>
    <definedName name="Slicer_Location">#N/A</definedName>
    <definedName name="Slicer_Month">#N/A</definedName>
  </definedNames>
  <calcPr calcId="191029"/>
  <pivotCaches>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 l="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B7" i="4"/>
  <c r="B16" i="4"/>
  <c r="B3" i="4" l="1"/>
  <c r="B2" i="4"/>
  <c r="B12" i="4"/>
  <c r="B15" i="4"/>
  <c r="O25" i="3"/>
  <c r="B14" i="4"/>
  <c r="B13" i="4"/>
  <c r="B10" i="4"/>
  <c r="B9" i="4"/>
  <c r="B8" i="4"/>
  <c r="B6" i="4"/>
  <c r="B5" i="4"/>
  <c r="B4" i="4"/>
  <c r="L2" i="3"/>
  <c r="L3" i="3"/>
  <c r="L4" i="3"/>
  <c r="L5" i="3"/>
  <c r="L6" i="3"/>
  <c r="L7" i="3"/>
  <c r="O7" i="3" s="1"/>
  <c r="L8" i="3"/>
  <c r="O8" i="3" s="1"/>
  <c r="L9" i="3"/>
  <c r="O9" i="3" s="1"/>
  <c r="L10" i="3"/>
  <c r="L11" i="3"/>
  <c r="L12" i="3"/>
  <c r="L13" i="3"/>
  <c r="L14" i="3"/>
  <c r="L15" i="3"/>
  <c r="N15" i="3" s="1"/>
  <c r="L16" i="3"/>
  <c r="N16" i="3" s="1"/>
  <c r="L17" i="3"/>
  <c r="N17" i="3" s="1"/>
  <c r="L18" i="3"/>
  <c r="L19" i="3"/>
  <c r="L20" i="3"/>
  <c r="L21" i="3"/>
  <c r="L22" i="3"/>
  <c r="L23" i="3"/>
  <c r="O23" i="3" s="1"/>
  <c r="L24" i="3"/>
  <c r="O24" i="3" s="1"/>
  <c r="L25" i="3"/>
  <c r="N25" i="3" s="1"/>
  <c r="L26" i="3"/>
  <c r="L27" i="3"/>
  <c r="L28" i="3"/>
  <c r="L29" i="3"/>
  <c r="L30" i="3"/>
  <c r="L31" i="3"/>
  <c r="O31" i="3" s="1"/>
  <c r="L32" i="3"/>
  <c r="L33" i="3"/>
  <c r="N33" i="3" s="1"/>
  <c r="L34" i="3"/>
  <c r="L35" i="3"/>
  <c r="L36" i="3"/>
  <c r="L37" i="3"/>
  <c r="L38" i="3"/>
  <c r="L39" i="3"/>
  <c r="N39" i="3" s="1"/>
  <c r="L40" i="3"/>
  <c r="N40" i="3" s="1"/>
  <c r="L41" i="3"/>
  <c r="O41" i="3" s="1"/>
  <c r="L42" i="3"/>
  <c r="L43" i="3"/>
  <c r="L44" i="3"/>
  <c r="L45" i="3"/>
  <c r="L46" i="3"/>
  <c r="L47" i="3"/>
  <c r="N47" i="3" s="1"/>
  <c r="L48" i="3"/>
  <c r="N48" i="3" s="1"/>
  <c r="L49" i="3"/>
  <c r="O49" i="3" s="1"/>
  <c r="L50" i="3"/>
  <c r="L51" i="3"/>
  <c r="L52" i="3"/>
  <c r="L53" i="3"/>
  <c r="L54" i="3"/>
  <c r="L55" i="3"/>
  <c r="L56" i="3"/>
  <c r="N56" i="3" s="1"/>
  <c r="L57" i="3"/>
  <c r="O57" i="3" s="1"/>
  <c r="L58" i="3"/>
  <c r="L59" i="3"/>
  <c r="L60" i="3"/>
  <c r="L61" i="3"/>
  <c r="L62" i="3"/>
  <c r="L63" i="3"/>
  <c r="N63" i="3" s="1"/>
  <c r="L64" i="3"/>
  <c r="N64" i="3" s="1"/>
  <c r="L65" i="3"/>
  <c r="O65" i="3" s="1"/>
  <c r="L66" i="3"/>
  <c r="L67" i="3"/>
  <c r="L68" i="3"/>
  <c r="L69" i="3"/>
  <c r="L70" i="3"/>
  <c r="L71" i="3"/>
  <c r="L72" i="3"/>
  <c r="L73" i="3"/>
  <c r="O73" i="3" s="1"/>
  <c r="L74" i="3"/>
  <c r="L75" i="3"/>
  <c r="L76" i="3"/>
  <c r="L77" i="3"/>
  <c r="L78" i="3"/>
  <c r="L79" i="3"/>
  <c r="N79" i="3" s="1"/>
  <c r="L80" i="3"/>
  <c r="N80" i="3" s="1"/>
  <c r="L81" i="3"/>
  <c r="O81" i="3" s="1"/>
  <c r="L82" i="3"/>
  <c r="L83" i="3"/>
  <c r="L84" i="3"/>
  <c r="L85" i="3"/>
  <c r="L86" i="3"/>
  <c r="L87" i="3"/>
  <c r="N87" i="3" s="1"/>
  <c r="L88" i="3"/>
  <c r="N88" i="3" s="1"/>
  <c r="L89" i="3"/>
  <c r="O89" i="3" s="1"/>
  <c r="L90" i="3"/>
  <c r="L91" i="3"/>
  <c r="L92" i="3"/>
  <c r="L93" i="3"/>
  <c r="L94" i="3"/>
  <c r="L95" i="3"/>
  <c r="L96" i="3"/>
  <c r="L97" i="3"/>
  <c r="N97" i="3" s="1"/>
  <c r="L98" i="3"/>
  <c r="L99" i="3"/>
  <c r="L100" i="3"/>
  <c r="L101" i="3"/>
  <c r="N2" i="3"/>
  <c r="N7" i="3"/>
  <c r="N8" i="3"/>
  <c r="N9" i="3"/>
  <c r="N31" i="3"/>
  <c r="N32" i="3"/>
  <c r="N55" i="3"/>
  <c r="N71" i="3"/>
  <c r="N72" i="3"/>
  <c r="N73" i="3"/>
  <c r="N95" i="3"/>
  <c r="N96" i="3"/>
  <c r="O3" i="3"/>
  <c r="O4" i="3"/>
  <c r="O5" i="3"/>
  <c r="O6" i="3"/>
  <c r="O10" i="3"/>
  <c r="O11" i="3"/>
  <c r="O12" i="3"/>
  <c r="O13" i="3"/>
  <c r="O14" i="3"/>
  <c r="O18" i="3"/>
  <c r="O19" i="3"/>
  <c r="O20" i="3"/>
  <c r="O21" i="3"/>
  <c r="O22" i="3"/>
  <c r="O26" i="3"/>
  <c r="O27" i="3"/>
  <c r="O28" i="3"/>
  <c r="O29" i="3"/>
  <c r="O30" i="3"/>
  <c r="O34" i="3"/>
  <c r="O35" i="3"/>
  <c r="O36" i="3"/>
  <c r="O37" i="3"/>
  <c r="O38" i="3"/>
  <c r="O40" i="3"/>
  <c r="O42" i="3"/>
  <c r="O43" i="3"/>
  <c r="O44" i="3"/>
  <c r="O45" i="3"/>
  <c r="O46" i="3"/>
  <c r="O47" i="3"/>
  <c r="O48" i="3"/>
  <c r="O50" i="3"/>
  <c r="O51" i="3"/>
  <c r="O52" i="3"/>
  <c r="O53" i="3"/>
  <c r="O54" i="3"/>
  <c r="O55" i="3"/>
  <c r="O56" i="3"/>
  <c r="O58" i="3"/>
  <c r="O59" i="3"/>
  <c r="O60" i="3"/>
  <c r="O61" i="3"/>
  <c r="O62" i="3"/>
  <c r="O63" i="3"/>
  <c r="O64" i="3"/>
  <c r="O66" i="3"/>
  <c r="O67" i="3"/>
  <c r="O68" i="3"/>
  <c r="O69" i="3"/>
  <c r="O70" i="3"/>
  <c r="O71" i="3"/>
  <c r="O72" i="3"/>
  <c r="O74" i="3"/>
  <c r="O75" i="3"/>
  <c r="O76" i="3"/>
  <c r="O77" i="3"/>
  <c r="O78" i="3"/>
  <c r="O79" i="3"/>
  <c r="O80" i="3"/>
  <c r="O82" i="3"/>
  <c r="O83" i="3"/>
  <c r="O84" i="3"/>
  <c r="O85" i="3"/>
  <c r="O86" i="3"/>
  <c r="O87" i="3"/>
  <c r="O88" i="3"/>
  <c r="O90" i="3"/>
  <c r="O91" i="3"/>
  <c r="O92" i="3"/>
  <c r="O93" i="3"/>
  <c r="O94" i="3"/>
  <c r="O95" i="3"/>
  <c r="O96" i="3"/>
  <c r="O98" i="3"/>
  <c r="O99" i="3"/>
  <c r="O100" i="3"/>
  <c r="O101" i="3"/>
  <c r="N3" i="3"/>
  <c r="N4" i="3"/>
  <c r="N5" i="3"/>
  <c r="N6" i="3"/>
  <c r="N10" i="3"/>
  <c r="N11" i="3"/>
  <c r="N12" i="3"/>
  <c r="N13" i="3"/>
  <c r="N14" i="3"/>
  <c r="N18" i="3"/>
  <c r="N19" i="3"/>
  <c r="N20" i="3"/>
  <c r="N21" i="3"/>
  <c r="N22" i="3"/>
  <c r="N26" i="3"/>
  <c r="N27" i="3"/>
  <c r="N28" i="3"/>
  <c r="N29" i="3"/>
  <c r="N30" i="3"/>
  <c r="N34" i="3"/>
  <c r="N35" i="3"/>
  <c r="N36" i="3"/>
  <c r="N37" i="3"/>
  <c r="N38" i="3"/>
  <c r="N42" i="3"/>
  <c r="N43" i="3"/>
  <c r="N44" i="3"/>
  <c r="N45" i="3"/>
  <c r="N46" i="3"/>
  <c r="N50" i="3"/>
  <c r="N51" i="3"/>
  <c r="N52" i="3"/>
  <c r="N53" i="3"/>
  <c r="N54" i="3"/>
  <c r="N58" i="3"/>
  <c r="N59" i="3"/>
  <c r="N60" i="3"/>
  <c r="N61" i="3"/>
  <c r="N62" i="3"/>
  <c r="N66" i="3"/>
  <c r="N67" i="3"/>
  <c r="N68" i="3"/>
  <c r="N69" i="3"/>
  <c r="N70" i="3"/>
  <c r="N74" i="3"/>
  <c r="N75" i="3"/>
  <c r="N76" i="3"/>
  <c r="N77" i="3"/>
  <c r="N78" i="3"/>
  <c r="N82" i="3"/>
  <c r="N83" i="3"/>
  <c r="N84" i="3"/>
  <c r="N85" i="3"/>
  <c r="N86" i="3"/>
  <c r="N90" i="3"/>
  <c r="N91" i="3"/>
  <c r="N92" i="3"/>
  <c r="N93" i="3"/>
  <c r="N94" i="3"/>
  <c r="N98" i="3"/>
  <c r="N99" i="3"/>
  <c r="N100" i="3"/>
  <c r="N10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2" i="3"/>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V2" i="2"/>
  <c r="V10" i="2"/>
  <c r="V18" i="2"/>
  <c r="V26" i="2"/>
  <c r="V34" i="2"/>
  <c r="V42" i="2"/>
  <c r="V50" i="2"/>
  <c r="V58" i="2"/>
  <c r="V66" i="2"/>
  <c r="V74" i="2"/>
  <c r="V82" i="2"/>
  <c r="V90" i="2"/>
  <c r="V98"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N101" i="2"/>
  <c r="P101" i="2" s="1"/>
  <c r="G101" i="2"/>
  <c r="N100" i="2"/>
  <c r="P100" i="2" s="1"/>
  <c r="G100" i="2"/>
  <c r="N99" i="2"/>
  <c r="P99" i="2" s="1"/>
  <c r="G99" i="2"/>
  <c r="N98" i="2"/>
  <c r="P98" i="2" s="1"/>
  <c r="G98" i="2"/>
  <c r="N97" i="2"/>
  <c r="P97" i="2" s="1"/>
  <c r="G97" i="2"/>
  <c r="N96" i="2"/>
  <c r="P96" i="2" s="1"/>
  <c r="G96" i="2"/>
  <c r="N95" i="2"/>
  <c r="P95" i="2" s="1"/>
  <c r="G95" i="2"/>
  <c r="N94" i="2"/>
  <c r="P94" i="2" s="1"/>
  <c r="G94" i="2"/>
  <c r="N93" i="2"/>
  <c r="P93" i="2" s="1"/>
  <c r="G93" i="2"/>
  <c r="N92" i="2"/>
  <c r="P92" i="2" s="1"/>
  <c r="G92" i="2"/>
  <c r="N91" i="2"/>
  <c r="P91" i="2" s="1"/>
  <c r="G91" i="2"/>
  <c r="N90" i="2"/>
  <c r="P90" i="2" s="1"/>
  <c r="G90" i="2"/>
  <c r="N89" i="2"/>
  <c r="P89" i="2" s="1"/>
  <c r="G89" i="2"/>
  <c r="N88" i="2"/>
  <c r="P88" i="2" s="1"/>
  <c r="G88" i="2"/>
  <c r="N87" i="2"/>
  <c r="P87" i="2" s="1"/>
  <c r="G87" i="2"/>
  <c r="N86" i="2"/>
  <c r="P86" i="2" s="1"/>
  <c r="G86" i="2"/>
  <c r="N85" i="2"/>
  <c r="P85" i="2" s="1"/>
  <c r="G85" i="2"/>
  <c r="N84" i="2"/>
  <c r="P84" i="2" s="1"/>
  <c r="G84" i="2"/>
  <c r="N83" i="2"/>
  <c r="P83" i="2" s="1"/>
  <c r="G83" i="2"/>
  <c r="N82" i="2"/>
  <c r="P82" i="2" s="1"/>
  <c r="G82" i="2"/>
  <c r="N81" i="2"/>
  <c r="P81" i="2" s="1"/>
  <c r="G81" i="2"/>
  <c r="N80" i="2"/>
  <c r="P80" i="2" s="1"/>
  <c r="G80" i="2"/>
  <c r="N79" i="2"/>
  <c r="P79" i="2" s="1"/>
  <c r="G79" i="2"/>
  <c r="N78" i="2"/>
  <c r="P78" i="2" s="1"/>
  <c r="G78" i="2"/>
  <c r="N77" i="2"/>
  <c r="P77" i="2" s="1"/>
  <c r="G77" i="2"/>
  <c r="N76" i="2"/>
  <c r="P76" i="2" s="1"/>
  <c r="G76" i="2"/>
  <c r="N75" i="2"/>
  <c r="P75" i="2" s="1"/>
  <c r="G75" i="2"/>
  <c r="N74" i="2"/>
  <c r="P74" i="2" s="1"/>
  <c r="G74" i="2"/>
  <c r="N73" i="2"/>
  <c r="P73" i="2" s="1"/>
  <c r="G73" i="2"/>
  <c r="N72" i="2"/>
  <c r="P72" i="2" s="1"/>
  <c r="G72" i="2"/>
  <c r="N71" i="2"/>
  <c r="P71" i="2" s="1"/>
  <c r="G71" i="2"/>
  <c r="N70" i="2"/>
  <c r="P70" i="2" s="1"/>
  <c r="G70" i="2"/>
  <c r="N69" i="2"/>
  <c r="P69" i="2" s="1"/>
  <c r="G69" i="2"/>
  <c r="N68" i="2"/>
  <c r="P68" i="2" s="1"/>
  <c r="G68" i="2"/>
  <c r="N67" i="2"/>
  <c r="P67" i="2" s="1"/>
  <c r="G67" i="2"/>
  <c r="N66" i="2"/>
  <c r="P66" i="2" s="1"/>
  <c r="G66" i="2"/>
  <c r="N65" i="2"/>
  <c r="P65" i="2" s="1"/>
  <c r="G65" i="2"/>
  <c r="N64" i="2"/>
  <c r="P64" i="2" s="1"/>
  <c r="G64" i="2"/>
  <c r="N63" i="2"/>
  <c r="P63" i="2" s="1"/>
  <c r="G63" i="2"/>
  <c r="N62" i="2"/>
  <c r="P62" i="2" s="1"/>
  <c r="G62" i="2"/>
  <c r="N61" i="2"/>
  <c r="P61" i="2" s="1"/>
  <c r="G61" i="2"/>
  <c r="N60" i="2"/>
  <c r="P60" i="2" s="1"/>
  <c r="G60" i="2"/>
  <c r="N59" i="2"/>
  <c r="P59" i="2" s="1"/>
  <c r="G59" i="2"/>
  <c r="N58" i="2"/>
  <c r="P58" i="2" s="1"/>
  <c r="G58" i="2"/>
  <c r="N57" i="2"/>
  <c r="P57" i="2" s="1"/>
  <c r="G57" i="2"/>
  <c r="N56" i="2"/>
  <c r="P56" i="2" s="1"/>
  <c r="G56" i="2"/>
  <c r="N55" i="2"/>
  <c r="P55" i="2" s="1"/>
  <c r="G55" i="2"/>
  <c r="N54" i="2"/>
  <c r="P54" i="2" s="1"/>
  <c r="G54" i="2"/>
  <c r="N53" i="2"/>
  <c r="P53" i="2" s="1"/>
  <c r="G53" i="2"/>
  <c r="N52" i="2"/>
  <c r="P52" i="2" s="1"/>
  <c r="G52" i="2"/>
  <c r="N51" i="2"/>
  <c r="P51" i="2" s="1"/>
  <c r="G51" i="2"/>
  <c r="N50" i="2"/>
  <c r="P50" i="2" s="1"/>
  <c r="G50" i="2"/>
  <c r="N49" i="2"/>
  <c r="P49" i="2" s="1"/>
  <c r="G49" i="2"/>
  <c r="N48" i="2"/>
  <c r="P48" i="2" s="1"/>
  <c r="G48" i="2"/>
  <c r="N47" i="2"/>
  <c r="P47" i="2" s="1"/>
  <c r="G47" i="2"/>
  <c r="N46" i="2"/>
  <c r="P46" i="2" s="1"/>
  <c r="G46" i="2"/>
  <c r="N45" i="2"/>
  <c r="P45" i="2" s="1"/>
  <c r="G45" i="2"/>
  <c r="N44" i="2"/>
  <c r="P44" i="2" s="1"/>
  <c r="G44" i="2"/>
  <c r="N43" i="2"/>
  <c r="P43" i="2" s="1"/>
  <c r="G43" i="2"/>
  <c r="N42" i="2"/>
  <c r="P42" i="2" s="1"/>
  <c r="G42" i="2"/>
  <c r="N41" i="2"/>
  <c r="P41" i="2" s="1"/>
  <c r="G41" i="2"/>
  <c r="N40" i="2"/>
  <c r="P40" i="2" s="1"/>
  <c r="G40" i="2"/>
  <c r="N39" i="2"/>
  <c r="P39" i="2" s="1"/>
  <c r="G39" i="2"/>
  <c r="N38" i="2"/>
  <c r="P38" i="2" s="1"/>
  <c r="G38" i="2"/>
  <c r="N37" i="2"/>
  <c r="P37" i="2" s="1"/>
  <c r="G37" i="2"/>
  <c r="N36" i="2"/>
  <c r="P36" i="2" s="1"/>
  <c r="G36" i="2"/>
  <c r="N35" i="2"/>
  <c r="P35" i="2" s="1"/>
  <c r="G35" i="2"/>
  <c r="N34" i="2"/>
  <c r="P34" i="2" s="1"/>
  <c r="G34" i="2"/>
  <c r="N33" i="2"/>
  <c r="P33" i="2" s="1"/>
  <c r="G33" i="2"/>
  <c r="N32" i="2"/>
  <c r="P32" i="2" s="1"/>
  <c r="G32" i="2"/>
  <c r="N31" i="2"/>
  <c r="P31" i="2" s="1"/>
  <c r="G31" i="2"/>
  <c r="N30" i="2"/>
  <c r="P30" i="2" s="1"/>
  <c r="G30" i="2"/>
  <c r="N29" i="2"/>
  <c r="P29" i="2" s="1"/>
  <c r="G29" i="2"/>
  <c r="N28" i="2"/>
  <c r="P28" i="2" s="1"/>
  <c r="G28" i="2"/>
  <c r="N27" i="2"/>
  <c r="P27" i="2" s="1"/>
  <c r="G27" i="2"/>
  <c r="N26" i="2"/>
  <c r="P26" i="2" s="1"/>
  <c r="G26" i="2"/>
  <c r="N25" i="2"/>
  <c r="P25" i="2" s="1"/>
  <c r="G25" i="2"/>
  <c r="N24" i="2"/>
  <c r="P24" i="2" s="1"/>
  <c r="G24" i="2"/>
  <c r="N23" i="2"/>
  <c r="P23" i="2" s="1"/>
  <c r="G23" i="2"/>
  <c r="N22" i="2"/>
  <c r="P22" i="2" s="1"/>
  <c r="G22" i="2"/>
  <c r="N21" i="2"/>
  <c r="P21" i="2" s="1"/>
  <c r="G21" i="2"/>
  <c r="N20" i="2"/>
  <c r="P20" i="2" s="1"/>
  <c r="G20" i="2"/>
  <c r="N19" i="2"/>
  <c r="P19" i="2" s="1"/>
  <c r="G19" i="2"/>
  <c r="N18" i="2"/>
  <c r="P18" i="2" s="1"/>
  <c r="G18" i="2"/>
  <c r="N17" i="2"/>
  <c r="P17" i="2" s="1"/>
  <c r="G17" i="2"/>
  <c r="N16" i="2"/>
  <c r="P16" i="2" s="1"/>
  <c r="G16" i="2"/>
  <c r="N15" i="2"/>
  <c r="P15" i="2" s="1"/>
  <c r="G15" i="2"/>
  <c r="N14" i="2"/>
  <c r="P14" i="2" s="1"/>
  <c r="G14" i="2"/>
  <c r="N13" i="2"/>
  <c r="P13" i="2" s="1"/>
  <c r="G13" i="2"/>
  <c r="N12" i="2"/>
  <c r="P12" i="2" s="1"/>
  <c r="G12" i="2"/>
  <c r="N11" i="2"/>
  <c r="P11" i="2" s="1"/>
  <c r="G11" i="2"/>
  <c r="N10" i="2"/>
  <c r="P10" i="2" s="1"/>
  <c r="G10" i="2"/>
  <c r="N9" i="2"/>
  <c r="P9" i="2" s="1"/>
  <c r="G9" i="2"/>
  <c r="N8" i="2"/>
  <c r="P8" i="2" s="1"/>
  <c r="G8" i="2"/>
  <c r="N7" i="2"/>
  <c r="P7" i="2" s="1"/>
  <c r="G7" i="2"/>
  <c r="N6" i="2"/>
  <c r="P6" i="2" s="1"/>
  <c r="G6" i="2"/>
  <c r="N5" i="2"/>
  <c r="P5" i="2" s="1"/>
  <c r="G5" i="2"/>
  <c r="N4" i="2"/>
  <c r="P4" i="2" s="1"/>
  <c r="G4" i="2"/>
  <c r="N3" i="2"/>
  <c r="P3" i="2" s="1"/>
  <c r="G3" i="2"/>
  <c r="N2" i="2"/>
  <c r="P2" i="2" s="1"/>
  <c r="G2"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2" i="1"/>
  <c r="N65" i="3" l="1"/>
  <c r="N24" i="3"/>
  <c r="N41" i="3"/>
  <c r="N23" i="3"/>
  <c r="N89" i="3"/>
  <c r="O17" i="3"/>
  <c r="N81" i="3"/>
  <c r="N49" i="3"/>
  <c r="O33" i="3"/>
  <c r="O16" i="3"/>
  <c r="N57" i="3"/>
  <c r="O97" i="3"/>
  <c r="O32" i="3"/>
  <c r="O15" i="3"/>
  <c r="O39" i="3"/>
  <c r="O2" i="3"/>
  <c r="V101" i="2"/>
  <c r="V93" i="2"/>
  <c r="V85" i="2"/>
  <c r="V77" i="2"/>
  <c r="V69" i="2"/>
  <c r="V61" i="2"/>
  <c r="V53" i="2"/>
  <c r="V45" i="2"/>
  <c r="V37" i="2"/>
  <c r="V29" i="2"/>
  <c r="V21" i="2"/>
  <c r="V13" i="2"/>
  <c r="V5" i="2"/>
  <c r="V100" i="2"/>
  <c r="V92" i="2"/>
  <c r="V84" i="2"/>
  <c r="V76" i="2"/>
  <c r="V68" i="2"/>
  <c r="V60" i="2"/>
  <c r="V52" i="2"/>
  <c r="V44" i="2"/>
  <c r="V36" i="2"/>
  <c r="V28" i="2"/>
  <c r="V20" i="2"/>
  <c r="V12" i="2"/>
  <c r="V4" i="2"/>
  <c r="V99" i="2"/>
  <c r="V91" i="2"/>
  <c r="V83" i="2"/>
  <c r="V75" i="2"/>
  <c r="V67" i="2"/>
  <c r="V59" i="2"/>
  <c r="V51" i="2"/>
  <c r="V43" i="2"/>
  <c r="V35" i="2"/>
  <c r="V27" i="2"/>
  <c r="V19" i="2"/>
  <c r="V11" i="2"/>
  <c r="V3" i="2"/>
  <c r="V97" i="2"/>
  <c r="V89" i="2"/>
  <c r="V81" i="2"/>
  <c r="V73" i="2"/>
  <c r="V65" i="2"/>
  <c r="V57" i="2"/>
  <c r="V49" i="2"/>
  <c r="V41" i="2"/>
  <c r="V33" i="2"/>
  <c r="V25" i="2"/>
  <c r="V17" i="2"/>
  <c r="V9" i="2"/>
  <c r="V96" i="2"/>
  <c r="V88" i="2"/>
  <c r="V80" i="2"/>
  <c r="V72" i="2"/>
  <c r="V64" i="2"/>
  <c r="V56" i="2"/>
  <c r="V48" i="2"/>
  <c r="V40" i="2"/>
  <c r="V32" i="2"/>
  <c r="V24" i="2"/>
  <c r="V16" i="2"/>
  <c r="V8" i="2"/>
  <c r="V95" i="2"/>
  <c r="V87" i="2"/>
  <c r="V79" i="2"/>
  <c r="V71" i="2"/>
  <c r="V63" i="2"/>
  <c r="V55" i="2"/>
  <c r="V47" i="2"/>
  <c r="V39" i="2"/>
  <c r="V31" i="2"/>
  <c r="V23" i="2"/>
  <c r="V15" i="2"/>
  <c r="V7" i="2"/>
  <c r="V94" i="2"/>
  <c r="V86" i="2"/>
  <c r="V78" i="2"/>
  <c r="V70" i="2"/>
  <c r="V62" i="2"/>
  <c r="V54" i="2"/>
  <c r="V46" i="2"/>
  <c r="V38" i="2"/>
  <c r="V30" i="2"/>
  <c r="V22" i="2"/>
  <c r="V14" i="2"/>
  <c r="V6" i="2"/>
</calcChain>
</file>

<file path=xl/sharedStrings.xml><?xml version="1.0" encoding="utf-8"?>
<sst xmlns="http://schemas.openxmlformats.org/spreadsheetml/2006/main" count="1521" uniqueCount="193">
  <si>
    <t>Department</t>
  </si>
  <si>
    <t>Location</t>
  </si>
  <si>
    <t>Date</t>
  </si>
  <si>
    <t>Month</t>
  </si>
  <si>
    <t>Salary</t>
  </si>
  <si>
    <t>Remarks</t>
  </si>
  <si>
    <t>E001</t>
  </si>
  <si>
    <t>Meena</t>
  </si>
  <si>
    <t>IT</t>
  </si>
  <si>
    <t>Developer</t>
  </si>
  <si>
    <t>Bangalore</t>
  </si>
  <si>
    <t>WFH</t>
  </si>
  <si>
    <t>Excellent</t>
  </si>
  <si>
    <t>E002</t>
  </si>
  <si>
    <t>Pooja</t>
  </si>
  <si>
    <t>Finance</t>
  </si>
  <si>
    <t>Recruiter</t>
  </si>
  <si>
    <t>Good</t>
  </si>
  <si>
    <t>E003</t>
  </si>
  <si>
    <t>Priya</t>
  </si>
  <si>
    <t>Sales</t>
  </si>
  <si>
    <t>Mumbai</t>
  </si>
  <si>
    <t>Present</t>
  </si>
  <si>
    <t>Poor</t>
  </si>
  <si>
    <t>E004</t>
  </si>
  <si>
    <t>Arjun</t>
  </si>
  <si>
    <t>Average</t>
  </si>
  <si>
    <t>E005</t>
  </si>
  <si>
    <t>Kiran</t>
  </si>
  <si>
    <t>HR</t>
  </si>
  <si>
    <t>Absent</t>
  </si>
  <si>
    <t>E006</t>
  </si>
  <si>
    <t>Sneha</t>
  </si>
  <si>
    <t>Tester</t>
  </si>
  <si>
    <t>Hyderabad</t>
  </si>
  <si>
    <t>E007</t>
  </si>
  <si>
    <t>Varun</t>
  </si>
  <si>
    <t>Analyst</t>
  </si>
  <si>
    <t>E008</t>
  </si>
  <si>
    <t>Ravi</t>
  </si>
  <si>
    <t>Leave</t>
  </si>
  <si>
    <t>E009</t>
  </si>
  <si>
    <t>Chennai</t>
  </si>
  <si>
    <t>E010</t>
  </si>
  <si>
    <t>Rohit</t>
  </si>
  <si>
    <t>Manager</t>
  </si>
  <si>
    <t>E011</t>
  </si>
  <si>
    <t>E012</t>
  </si>
  <si>
    <t>E013</t>
  </si>
  <si>
    <t>Executive</t>
  </si>
  <si>
    <t>E014</t>
  </si>
  <si>
    <t>E015</t>
  </si>
  <si>
    <t>E016</t>
  </si>
  <si>
    <t>E017</t>
  </si>
  <si>
    <t>E018</t>
  </si>
  <si>
    <t>E019</t>
  </si>
  <si>
    <t>E020</t>
  </si>
  <si>
    <t>E021</t>
  </si>
  <si>
    <t>E022</t>
  </si>
  <si>
    <t>E023</t>
  </si>
  <si>
    <t>E024</t>
  </si>
  <si>
    <t>E025</t>
  </si>
  <si>
    <t>E026</t>
  </si>
  <si>
    <t>E027</t>
  </si>
  <si>
    <t>E028</t>
  </si>
  <si>
    <t>E029</t>
  </si>
  <si>
    <t>Asha</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</si>
  <si>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</si>
  <si>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</si>
  <si>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</si>
  <si>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</si>
  <si>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</si>
  <si>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</si>
  <si>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</si>
  <si>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</si>
  <si>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</si>
  <si>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</si>
  <si>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</si>
  <si>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</si>
  <si>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</si>
  <si>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</si>
  <si>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</si>
  <si>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</si>
  <si>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</si>
  <si>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</si>
  <si>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</si>
  <si>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</si>
  <si>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</si>
  <si>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</si>
  <si>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</si>
  <si>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</si>
  <si>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</si>
  <si>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</si>
  <si>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</si>
  <si>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</si>
  <si>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</si>
  <si>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</si>
  <si>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</si>
  <si>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</si>
  <si>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</si>
  <si>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</si>
  <si>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</si>
  <si>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</si>
  <si>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</si>
  <si>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</si>
  <si>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</si>
  <si>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</si>
  <si>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</si>
  <si>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</si>
  <si>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</si>
  <si>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</si>
  <si>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</si>
  <si>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</si>
  <si>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</si>
  <si>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</si>
  <si>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</si>
  <si>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</si>
  <si>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</si>
  <si>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</si>
  <si>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</si>
  <si>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</si>
  <si>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</si>
  <si>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</si>
  <si>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</si>
  <si>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</si>
  <si>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</si>
  <si>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</si>
  <si>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</si>
  <si>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</si>
  <si>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</si>
  <si>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</si>
  <si>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</si>
  <si>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</si>
  <si>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</si>
  <si>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</si>
  <si>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</si>
  <si>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</si>
  <si>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</si>
  <si>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Employee ID</t>
  </si>
  <si>
    <t xml:space="preserve">Employee Name </t>
  </si>
  <si>
    <t xml:space="preserve">Department </t>
  </si>
  <si>
    <t>Job Role</t>
  </si>
  <si>
    <t>Attendance Status</t>
  </si>
  <si>
    <t xml:space="preserve">Working Hours </t>
  </si>
  <si>
    <t>Overtime Hours</t>
  </si>
  <si>
    <t>Tasks Completed</t>
  </si>
  <si>
    <t>Performance Score</t>
  </si>
  <si>
    <t>Target Task</t>
  </si>
  <si>
    <t>Achievement %</t>
  </si>
  <si>
    <t>Bonus Eligibility</t>
  </si>
  <si>
    <t>Manager Rating</t>
  </si>
  <si>
    <t>Clean Employee Name</t>
  </si>
  <si>
    <t>Clean Department</t>
  </si>
  <si>
    <t>Clean Attendance</t>
  </si>
  <si>
    <t>Safe Achievement %</t>
  </si>
  <si>
    <t>Data Status</t>
  </si>
  <si>
    <t>Employee Name</t>
  </si>
  <si>
    <t>Working Hours</t>
  </si>
  <si>
    <t>Target Tasks</t>
  </si>
  <si>
    <t>Attendance Score</t>
  </si>
  <si>
    <t>Performance Category</t>
  </si>
  <si>
    <t>Productivity Score</t>
  </si>
  <si>
    <t>Total Employees</t>
  </si>
  <si>
    <t>Total Present</t>
  </si>
  <si>
    <t>Total Absent</t>
  </si>
  <si>
    <t>Total Leave</t>
  </si>
  <si>
    <t>Attendance %</t>
  </si>
  <si>
    <t>Average Performance Score</t>
  </si>
  <si>
    <t>Total Tasks Completed</t>
  </si>
  <si>
    <t>Total Target Tasks</t>
  </si>
  <si>
    <t>High Performers</t>
  </si>
  <si>
    <t>Low Performers</t>
  </si>
  <si>
    <t>Bonus Eligible Employees</t>
  </si>
  <si>
    <t>Total Overtime Hours</t>
  </si>
  <si>
    <t>Total WFH</t>
  </si>
  <si>
    <t>Medium Performance</t>
  </si>
  <si>
    <t>KPI</t>
  </si>
  <si>
    <t>VALUES</t>
  </si>
  <si>
    <t>Department Performance</t>
  </si>
  <si>
    <t>Row Labels</t>
  </si>
  <si>
    <t>Grand Total</t>
  </si>
  <si>
    <t>Sum of Tasks Completed</t>
  </si>
  <si>
    <t>Attendance by Department</t>
  </si>
  <si>
    <t>Count of Employee ID</t>
  </si>
  <si>
    <t>Employee Performance</t>
  </si>
  <si>
    <t>Monthly Trend</t>
  </si>
  <si>
    <t>April</t>
  </si>
  <si>
    <t>Location Analysis</t>
  </si>
  <si>
    <t>Average of Performance Score</t>
  </si>
  <si>
    <t>Sum of Target Task</t>
  </si>
  <si>
    <t>January</t>
  </si>
  <si>
    <t>February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</si>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</sst>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Tw Cen MT"/>
      <family val="2"/>
      <scheme val="minor"/>
    </font>
    <font>
      <sz val="11"/>
      <color theme="1"/>
      <name val="Tw Cen MT"/>
      <family val="2"/>
      <scheme val="minor"/>
    </font>
    <font>
      <b/>
      <sz val="11"/>
      <color theme="0"/>
      <name val="Tw Cen MT"/>
      <family val="2"/>
      <scheme val="minor"/>
    </font>
    <font>
      <b/>
      <sz val="11"/>
      <color theme="1"/>
      <name val="Tw Cen MT"/>
      <family val="2"/>
      <scheme val="minor"/>
    </font>
    <font>
      <b/>
      <sz val="12"/>
      <color theme="0"/>
      <name val="Tw Cen MT"/>
      <family val="2"/>
      <scheme val="minor"/>
    </font>
    <font>
      <b/>
      <sz val="14"/>
      <color theme="1"/>
      <name val="Tw Cen MT"/>
      <family val="2"/>
      <scheme val="minor"/>
    </font>
    <font>
      <sz val="14"/>
      <color theme="1"/>
      <name val="Tw Cen MT"/>
      <family val="2"/>
      <scheme val="minor"/>
    </font>
    <font>
      <b/>
      <sz val="16"/>
      <color theme="1"/>
      <name val="Tw Cen MT"/>
      <family val="2"/>
      <scheme val="minor"/>
    </font>
    <font>
      <b/>
      <sz val="18"/>
      <color rgb="FF000000"/>
      <name val="Arial"/>
      <family val="2"/>
    </font>
  </fonts>
  <fills count="4">
    <fill>
      <patternFill patternType="none"/>
    </fill>
    <fill>
      <patternFill patternType="gray125"/>
    </fill>
    <fill>
      <patternFill patternType="solid">
        <fgColor theme="4"/>
        <bgColor theme="4"/>
      </patternFill>
    </fill>
    <fill>
      <patternFill patternType="solid">
        <fgColor theme="5" tint="0.79998168889431442"/>
        <bgColor indexed="64"/>
      </patternFill>
    </fill>
  </fills>
  <borders count="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3" fillId="0" borderId="0" xfId="0" applyFont="1"/>
    <xf numFmtId="14" fontId="0" fillId="0" borderId="0" xfId="0" applyNumberFormat="1"/>
    <xf numFmtId="14" fontId="3" fillId="0" borderId="0" xfId="0" applyNumberFormat="1" applyFont="1"/>
    <xf numFmtId="9" fontId="0" fillId="0" borderId="0" xfId="1" applyFont="1"/>
    <xf numFmtId="0" fontId="0" fillId="0" borderId="0" xfId="0" applyAlignment="1">
      <alignmen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0" fillId="0" borderId="0" xfId="0" pivotButton="1"/>
    <xf numFmtId="0" fontId="0" fillId="0" borderId="0" xfId="0" applyAlignment="1">
      <alignment horizontal="left"/>
    </xf>
    <xf numFmtId="0" fontId="5" fillId="0" borderId="0" xfId="0" applyFont="1"/>
    <xf numFmtId="2" fontId="0" fillId="0" borderId="0" xfId="0" applyNumberFormat="1"/>
    <xf numFmtId="0" fontId="0" fillId="3" borderId="0" xfId="0" applyFill="1"/>
    <xf numFmtId="0" fontId="8" fillId="3" borderId="0" xfId="0" applyFont="1" applyFill="1"/>
    <xf numFmtId="0" fontId="7" fillId="3" borderId="0" xfId="0" applyFont="1" applyFill="1"/>
    <xf numFmtId="0" fontId="6" fillId="3" borderId="0" xfId="0" applyFont="1" applyFill="1" applyAlignment="1">
      <alignment horizontal="center"/>
    </xf>
    <xf numFmtId="9" fontId="6" fillId="3" borderId="0" xfId="1" applyFont="1" applyFill="1" applyAlignment="1">
      <alignment horizontal="center"/>
    </xf>
    <xf numFmtId="0" fontId="0" fillId="0" borderId="0" xfId="0" applyNumberFormat="1"/>
    <xf numFmtId="0" fontId="4" fillId="2" borderId="4" xfId="0" applyFont="1" applyFill="1" applyBorder="1" applyAlignment="1">
      <alignment vertical="center" wrapText="1"/>
    </xf>
    <xf numFmtId="0" fontId="2" fillId="2" borderId="3" xfId="0" applyFont="1" applyFill="1" applyBorder="1" applyAlignment="1">
      <alignment vertical="center" wrapText="1"/>
    </xf>
  </cellXfs>
  <cellStyles count="2">
    <cellStyle name="Normal" xfId="0" builtinId="0"/>
    <cellStyle name="Percent" xfId="1" builtinId="5"/>
  </cellStyles>
  <dxfs count="28">
    <dxf>
      <border outline="0">
        <bottom style="thin">
          <color theme="4" tint="0.39997558519241921"/>
        </bottom>
      </border>
    </dxf>
    <dxf>
      <border outline="0">
        <top style="thin">
          <color theme="4" tint="0.39997558519241921"/>
        </top>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3"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Tw Cen MT"/>
        <family val="2"/>
        <scheme val="minor"/>
      </font>
      <numFmt numFmtId="0" formatCode="General"/>
    </dxf>
    <dxf>
      <font>
        <b val="0"/>
        <i val="0"/>
        <strike val="0"/>
        <condense val="0"/>
        <extend val="0"/>
        <outline val="0"/>
        <shadow val="0"/>
        <u val="none"/>
        <vertAlign val="baseline"/>
        <sz val="11"/>
        <color theme="1"/>
        <name val="Tw Cen MT"/>
        <family val="2"/>
        <scheme val="minor"/>
      </font>
    </dxf>
    <dxf>
      <numFmt numFmtId="164" formatCode="m/d/yyyy"/>
    </dxf>
    <dxf>
      <font>
        <b/>
        <i val="0"/>
        <strike val="0"/>
        <condense val="0"/>
        <extend val="0"/>
        <outline val="0"/>
        <shadow val="0"/>
        <u val="none"/>
        <vertAlign val="baseline"/>
        <sz val="11"/>
        <color theme="1"/>
        <name val="Tw Cen MT"/>
        <family val="2"/>
        <scheme val="minor"/>
      </font>
    </dxf>
  </dxfs>
  <tableStyles count="2" defaultTableStyle="TableStyleMedium2" defaultPivotStyle="PivotStyleLight16">
    <tableStyle name="Slicer Style 1" pivot="0" table="0" count="0" xr9:uid="{A5BAC2BE-336F-4D25-B249-4E4D7F430AB5}"/>
    <tableStyle name="Timeline Style 1" pivot="0" table="0" count="8" xr9:uid="{3E2B9CB4-7DAC-4C5F-9863-2F7F546F6B70}">
      <tableStyleElement type="wholeTable" dxfId="3"/>
      <tableStyleElement type="headerRow" dxfId="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ont>
            <sz val="7"/>
            <color theme="1" tint="0.499984740745262"/>
            <name val="Tw Cen MT"/>
            <family val="2"/>
            <scheme val="minor"/>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 &amp; Attendance_Dashboard_xlsx.xlsx]Department Performance Pivot!PivotTable1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Department Performance Comparison</a:t>
            </a:r>
          </a:p>
        </c:rich>
      </c:tx>
      <c:layout>
        <c:manualLayout>
          <c:xMode val="edge"/>
          <c:yMode val="edge"/>
          <c:x val="0.22684011373578303"/>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6268427697072"/>
          <c:y val="0.23954438989417046"/>
          <c:w val="0.62707082804887848"/>
          <c:h val="0.60821851834728069"/>
        </c:manualLayout>
      </c:layout>
      <c:barChart>
        <c:barDir val="bar"/>
        <c:grouping val="clustered"/>
        <c:varyColors val="0"/>
        <c:ser>
          <c:idx val="0"/>
          <c:order val="0"/>
          <c:tx>
            <c:strRef>
              <c:f>'Department Performance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Performance Pivot'!$A$4:$A$8</c:f>
              <c:strCache>
                <c:ptCount val="4"/>
                <c:pt idx="0">
                  <c:v>Sales</c:v>
                </c:pt>
                <c:pt idx="1">
                  <c:v>HR</c:v>
                </c:pt>
                <c:pt idx="2">
                  <c:v>Finance</c:v>
                </c:pt>
                <c:pt idx="3">
                  <c:v>IT</c:v>
                </c:pt>
              </c:strCache>
            </c:strRef>
          </c:cat>
          <c:val>
            <c:numRef>
              <c:f>'Department Performance Pivot'!$B$4:$B$8</c:f>
              <c:numCache>
                <c:formatCode>0.00</c:formatCode>
                <c:ptCount val="4"/>
                <c:pt idx="0">
                  <c:v>6.6315789473684212</c:v>
                </c:pt>
                <c:pt idx="1">
                  <c:v>6.5625</c:v>
                </c:pt>
                <c:pt idx="2">
                  <c:v>6.55</c:v>
                </c:pt>
                <c:pt idx="3">
                  <c:v>6.5172413793103452</c:v>
                </c:pt>
              </c:numCache>
            </c:numRef>
          </c:val>
          <c:extLst>
            <c:ext xmlns:c16="http://schemas.microsoft.com/office/drawing/2014/chart" uri="{C3380CC4-5D6E-409C-BE32-E72D297353CC}">
              <c16:uniqueId val="{00000000-A3A8-4B01-8157-6FA282B8A618}"/>
            </c:ext>
          </c:extLst>
        </c:ser>
        <c:dLbls>
          <c:dLblPos val="outEnd"/>
          <c:showLegendKey val="0"/>
          <c:showVal val="1"/>
          <c:showCatName val="0"/>
          <c:showSerName val="0"/>
          <c:showPercent val="0"/>
          <c:showBubbleSize val="0"/>
        </c:dLbls>
        <c:gapWidth val="182"/>
        <c:axId val="1380634352"/>
        <c:axId val="1380638192"/>
      </c:barChart>
      <c:catAx>
        <c:axId val="138063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638192"/>
        <c:crosses val="autoZero"/>
        <c:auto val="1"/>
        <c:lblAlgn val="ctr"/>
        <c:lblOffset val="100"/>
        <c:noMultiLvlLbl val="0"/>
      </c:catAx>
      <c:valAx>
        <c:axId val="1380638192"/>
        <c:scaling>
          <c:orientation val="minMax"/>
        </c:scaling>
        <c:delete val="1"/>
        <c:axPos val="b"/>
        <c:numFmt formatCode="0.00" sourceLinked="1"/>
        <c:majorTickMark val="out"/>
        <c:minorTickMark val="none"/>
        <c:tickLblPos val="nextTo"/>
        <c:crossAx val="1380634352"/>
        <c:crosses val="autoZero"/>
        <c:crossBetween val="between"/>
      </c:valAx>
      <c:spPr>
        <a:noFill/>
        <a:ln>
          <a:noFill/>
        </a:ln>
        <a:effectLst>
          <a:outerShdw blurRad="50800" dist="50800" dir="5400000" sx="107000" sy="107000" algn="ctr" rotWithShape="0">
            <a:schemeClr val="accent2">
              <a:lumMod val="40000"/>
              <a:lumOff val="6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i="0" baseline="0">
                <a:solidFill>
                  <a:schemeClr val="tx1"/>
                </a:solidFill>
              </a:rPr>
              <a:t>Tasks Completed vs Target</a:t>
            </a:r>
          </a:p>
        </c:rich>
      </c:tx>
      <c:layout>
        <c:manualLayout>
          <c:xMode val="edge"/>
          <c:yMode val="edge"/>
          <c:x val="0.14801985048835892"/>
          <c:y val="3.8475478297817171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308255468647185E-2"/>
          <c:y val="0.16114585393004074"/>
          <c:w val="0.62121162482820036"/>
          <c:h val="0.63117685656939937"/>
        </c:manualLayout>
      </c:layout>
      <c:barChart>
        <c:barDir val="col"/>
        <c:grouping val="clustered"/>
        <c:varyColors val="0"/>
        <c:ser>
          <c:idx val="0"/>
          <c:order val="0"/>
          <c:tx>
            <c:v>Sum of Target Task</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Arjun</c:v>
              </c:pt>
              <c:pt idx="1">
                <c:v>Asha</c:v>
              </c:pt>
              <c:pt idx="2">
                <c:v>Kiran</c:v>
              </c:pt>
              <c:pt idx="3">
                <c:v>Meena</c:v>
              </c:pt>
              <c:pt idx="4">
                <c:v>Pooja</c:v>
              </c:pt>
              <c:pt idx="5">
                <c:v>Priya</c:v>
              </c:pt>
              <c:pt idx="6">
                <c:v>Ravi</c:v>
              </c:pt>
              <c:pt idx="7">
                <c:v>Rohit</c:v>
              </c:pt>
              <c:pt idx="8">
                <c:v>Sneha</c:v>
              </c:pt>
              <c:pt idx="9">
                <c:v>Varun</c:v>
              </c:pt>
            </c:strLit>
          </c:cat>
          <c:val>
            <c:numLit>
              <c:formatCode>General</c:formatCode>
              <c:ptCount val="10"/>
              <c:pt idx="0">
                <c:v>102</c:v>
              </c:pt>
              <c:pt idx="1">
                <c:v>100</c:v>
              </c:pt>
              <c:pt idx="2">
                <c:v>192</c:v>
              </c:pt>
              <c:pt idx="3">
                <c:v>183</c:v>
              </c:pt>
              <c:pt idx="4">
                <c:v>134</c:v>
              </c:pt>
              <c:pt idx="5">
                <c:v>124</c:v>
              </c:pt>
              <c:pt idx="6">
                <c:v>138</c:v>
              </c:pt>
              <c:pt idx="7">
                <c:v>134</c:v>
              </c:pt>
              <c:pt idx="8">
                <c:v>175</c:v>
              </c:pt>
              <c:pt idx="9">
                <c:v>225</c:v>
              </c:pt>
            </c:numLit>
          </c:val>
          <c:extLst>
            <c:ext xmlns:c16="http://schemas.microsoft.com/office/drawing/2014/chart" uri="{C3380CC4-5D6E-409C-BE32-E72D297353CC}">
              <c16:uniqueId val="{00000000-7B60-45AA-8A87-1F4AD8982ADF}"/>
            </c:ext>
          </c:extLst>
        </c:ser>
        <c:ser>
          <c:idx val="1"/>
          <c:order val="1"/>
          <c:tx>
            <c:v>Sum of Tasks Completed</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Arjun</c:v>
              </c:pt>
              <c:pt idx="1">
                <c:v>Asha</c:v>
              </c:pt>
              <c:pt idx="2">
                <c:v>Kiran</c:v>
              </c:pt>
              <c:pt idx="3">
                <c:v>Meena</c:v>
              </c:pt>
              <c:pt idx="4">
                <c:v>Pooja</c:v>
              </c:pt>
              <c:pt idx="5">
                <c:v>Priya</c:v>
              </c:pt>
              <c:pt idx="6">
                <c:v>Ravi</c:v>
              </c:pt>
              <c:pt idx="7">
                <c:v>Rohit</c:v>
              </c:pt>
              <c:pt idx="8">
                <c:v>Sneha</c:v>
              </c:pt>
              <c:pt idx="9">
                <c:v>Varun</c:v>
              </c:pt>
            </c:strLit>
          </c:cat>
          <c:val>
            <c:numLit>
              <c:formatCode>General</c:formatCode>
              <c:ptCount val="10"/>
              <c:pt idx="0">
                <c:v>87</c:v>
              </c:pt>
              <c:pt idx="1">
                <c:v>47</c:v>
              </c:pt>
              <c:pt idx="2">
                <c:v>113</c:v>
              </c:pt>
              <c:pt idx="3">
                <c:v>70</c:v>
              </c:pt>
              <c:pt idx="4">
                <c:v>76</c:v>
              </c:pt>
              <c:pt idx="5">
                <c:v>77</c:v>
              </c:pt>
              <c:pt idx="6">
                <c:v>42</c:v>
              </c:pt>
              <c:pt idx="7">
                <c:v>108</c:v>
              </c:pt>
              <c:pt idx="8">
                <c:v>56</c:v>
              </c:pt>
              <c:pt idx="9">
                <c:v>68</c:v>
              </c:pt>
            </c:numLit>
          </c:val>
          <c:extLst>
            <c:ext xmlns:c16="http://schemas.microsoft.com/office/drawing/2014/chart" uri="{C3380CC4-5D6E-409C-BE32-E72D297353CC}">
              <c16:uniqueId val="{00000001-7B60-45AA-8A87-1F4AD8982ADF}"/>
            </c:ext>
          </c:extLst>
        </c:ser>
        <c:dLbls>
          <c:dLblPos val="outEnd"/>
          <c:showLegendKey val="0"/>
          <c:showVal val="1"/>
          <c:showCatName val="0"/>
          <c:showSerName val="0"/>
          <c:showPercent val="0"/>
          <c:showBubbleSize val="0"/>
        </c:dLbls>
        <c:gapWidth val="219"/>
        <c:overlap val="-27"/>
        <c:axId val="1501539664"/>
        <c:axId val="1501540144"/>
      </c:barChart>
      <c:catAx>
        <c:axId val="1501539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540144"/>
        <c:crosses val="autoZero"/>
        <c:auto val="1"/>
        <c:lblAlgn val="ctr"/>
        <c:lblOffset val="100"/>
        <c:noMultiLvlLbl val="0"/>
      </c:catAx>
      <c:valAx>
        <c:axId val="1501540144"/>
        <c:scaling>
          <c:orientation val="minMax"/>
        </c:scaling>
        <c:delete val="1"/>
        <c:axPos val="l"/>
        <c:numFmt formatCode="General" sourceLinked="1"/>
        <c:majorTickMark val="out"/>
        <c:minorTickMark val="none"/>
        <c:tickLblPos val="nextTo"/>
        <c:crossAx val="1501539664"/>
        <c:crosses val="autoZero"/>
        <c:crossBetween val="between"/>
      </c:valAx>
      <c:spPr>
        <a:noFill/>
        <a:ln>
          <a:noFill/>
        </a:ln>
        <a:effectLst>
          <a:outerShdw blurRad="50800" dist="50800" dir="5400000" sx="106000" sy="106000" algn="ctr" rotWithShape="0">
            <a:schemeClr val="accent2">
              <a:lumMod val="40000"/>
              <a:lumOff val="6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Monthly Performance Trend</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59001675023606E-2"/>
          <c:y val="0.23600596952707867"/>
          <c:w val="0.82052244488667647"/>
          <c:h val="0.56575931428589865"/>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January</c:v>
              </c:pt>
              <c:pt idx="1">
                <c:v>February</c:v>
              </c:pt>
              <c:pt idx="2">
                <c:v>March</c:v>
              </c:pt>
              <c:pt idx="3">
                <c:v>April</c:v>
              </c:pt>
            </c:strLit>
          </c:cat>
          <c:val>
            <c:numLit>
              <c:formatCode>General</c:formatCode>
              <c:ptCount val="4"/>
              <c:pt idx="0">
                <c:v>164</c:v>
              </c:pt>
              <c:pt idx="1">
                <c:v>235</c:v>
              </c:pt>
              <c:pt idx="2">
                <c:v>193</c:v>
              </c:pt>
              <c:pt idx="3">
                <c:v>152</c:v>
              </c:pt>
            </c:numLit>
          </c:val>
          <c:smooth val="0"/>
          <c:extLst>
            <c:ext xmlns:c16="http://schemas.microsoft.com/office/drawing/2014/chart" uri="{C3380CC4-5D6E-409C-BE32-E72D297353CC}">
              <c16:uniqueId val="{00000000-E08F-485A-A012-CD6FC9A350F8}"/>
            </c:ext>
          </c:extLst>
        </c:ser>
        <c:dLbls>
          <c:dLblPos val="t"/>
          <c:showLegendKey val="0"/>
          <c:showVal val="1"/>
          <c:showCatName val="0"/>
          <c:showSerName val="0"/>
          <c:showPercent val="0"/>
          <c:showBubbleSize val="0"/>
        </c:dLbls>
        <c:smooth val="0"/>
        <c:axId val="1501556944"/>
        <c:axId val="1501561744"/>
      </c:lineChart>
      <c:catAx>
        <c:axId val="150155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561744"/>
        <c:crosses val="autoZero"/>
        <c:auto val="1"/>
        <c:lblAlgn val="ctr"/>
        <c:lblOffset val="100"/>
        <c:noMultiLvlLbl val="0"/>
      </c:catAx>
      <c:valAx>
        <c:axId val="1501561744"/>
        <c:scaling>
          <c:orientation val="minMax"/>
        </c:scaling>
        <c:delete val="1"/>
        <c:axPos val="l"/>
        <c:numFmt formatCode="General" sourceLinked="1"/>
        <c:majorTickMark val="none"/>
        <c:minorTickMark val="none"/>
        <c:tickLblPos val="nextTo"/>
        <c:crossAx val="1501556944"/>
        <c:crosses val="autoZero"/>
        <c:crossBetween val="between"/>
      </c:valAx>
      <c:spPr>
        <a:noFill/>
        <a:ln>
          <a:noFill/>
        </a:ln>
        <a:effectLst>
          <a:outerShdw blurRad="50800" dist="50800" dir="5400000" sx="104000" sy="104000" algn="ctr" rotWithShape="0">
            <a:schemeClr val="accent2">
              <a:lumMod val="40000"/>
              <a:lumOff val="6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1800" b="1">
                <a:solidFill>
                  <a:schemeClr val="tx1"/>
                </a:solidFill>
              </a:rPr>
              <a:t>Attendance Distribution</a:t>
            </a:r>
          </a:p>
        </c:rich>
      </c:tx>
      <c:layout>
        <c:manualLayout>
          <c:xMode val="edge"/>
          <c:yMode val="edge"/>
          <c:x val="0.16165535327860739"/>
          <c:y val="0.13788302552995807"/>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0841772135969561"/>
          <c:y val="0.37120266778431193"/>
          <c:w val="0.42900262467191602"/>
          <c:h val="0.71500437445319331"/>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CF-4933-B6DC-10BE4B3C7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CF-4933-B6DC-10BE4B3C7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CF-4933-B6DC-10BE4B3C7E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CF-4933-B6DC-10BE4B3C7EC7}"/>
              </c:ext>
            </c:extLst>
          </c:dPt>
          <c:dLbls>
            <c:dLbl>
              <c:idx val="0"/>
              <c:layout>
                <c:manualLayout>
                  <c:x val="0.12686787616896117"/>
                  <c:y val="-4.431962397726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CF-4933-B6DC-10BE4B3C7EC7}"/>
                </c:ext>
              </c:extLst>
            </c:dLbl>
            <c:dLbl>
              <c:idx val="1"/>
              <c:layout>
                <c:manualLayout>
                  <c:x val="9.9681902704183784E-2"/>
                  <c:y val="0.1477320799242183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CF-4933-B6DC-10BE4B3C7EC7}"/>
                </c:ext>
              </c:extLst>
            </c:dLbl>
            <c:dLbl>
              <c:idx val="2"/>
              <c:layout>
                <c:manualLayout>
                  <c:x val="-0.12686787616896122"/>
                  <c:y val="0.113261261275234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CF-4933-B6DC-10BE4B3C7EC7}"/>
                </c:ext>
              </c:extLst>
            </c:dLbl>
            <c:dLbl>
              <c:idx val="3"/>
              <c:layout>
                <c:manualLayout>
                  <c:x val="-0.13139887174642409"/>
                  <c:y val="-5.41684293055467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CF-4933-B6DC-10BE4B3C7EC7}"/>
                </c:ext>
              </c:extLst>
            </c:dLbl>
            <c:spPr>
              <a:solidFill>
                <a:srgbClr val="ED7D31">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Absent</c:v>
              </c:pt>
              <c:pt idx="1">
                <c:v>Leave</c:v>
              </c:pt>
              <c:pt idx="2">
                <c:v>Present</c:v>
              </c:pt>
              <c:pt idx="3">
                <c:v>WFH</c:v>
              </c:pt>
            </c:strLit>
          </c:cat>
          <c:val>
            <c:numLit>
              <c:formatCode>General</c:formatCode>
              <c:ptCount val="4"/>
              <c:pt idx="0">
                <c:v>19</c:v>
              </c:pt>
              <c:pt idx="1">
                <c:v>24</c:v>
              </c:pt>
              <c:pt idx="2">
                <c:v>28</c:v>
              </c:pt>
              <c:pt idx="3">
                <c:v>29</c:v>
              </c:pt>
            </c:numLit>
          </c:val>
          <c:extLst>
            <c:ext xmlns:c16="http://schemas.microsoft.com/office/drawing/2014/chart" uri="{C3380CC4-5D6E-409C-BE32-E72D297353CC}">
              <c16:uniqueId val="{00000008-44CF-4933-B6DC-10BE4B3C7EC7}"/>
            </c:ext>
          </c:extLst>
        </c:ser>
        <c:dLbls>
          <c:showLegendKey val="0"/>
          <c:showVal val="0"/>
          <c:showCatName val="0"/>
          <c:showSerName val="0"/>
          <c:showPercent val="0"/>
          <c:showBubbleSize val="0"/>
          <c:showLeaderLines val="0"/>
        </c:dLbls>
        <c:firstSliceAng val="0"/>
        <c:holeSize val="50"/>
      </c:doughnutChart>
      <c:spPr>
        <a:noFill/>
        <a:ln>
          <a:noFill/>
        </a:ln>
        <a:effectLst>
          <a:outerShdw blurRad="50800" dist="50800" dir="5400000" sx="103000" sy="103000" algn="ctr" rotWithShape="0">
            <a:schemeClr val="accent2">
              <a:lumMod val="40000"/>
              <a:lumOff val="6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outerShdw blurRad="50800" dist="50800" dir="5400000" sx="97000" sy="97000" algn="ctr" rotWithShape="0">
        <a:schemeClr val="accent2">
          <a:lumMod val="40000"/>
          <a:lumOff val="60000"/>
        </a:schemeClr>
      </a:out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 &amp; Attendance_Dashboard_xlsx.xlsx]Department Performance Pivot!PivotTable5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000" b="1"/>
              <a:t>Location</a:t>
            </a:r>
            <a:r>
              <a:rPr lang="en-IN" sz="2000" b="1" baseline="0"/>
              <a:t> Analysis </a:t>
            </a:r>
            <a:endParaRPr lang="en-IN" sz="2000" b="1"/>
          </a:p>
        </c:rich>
      </c:tx>
      <c:layout>
        <c:manualLayout>
          <c:xMode val="edge"/>
          <c:yMode val="edge"/>
          <c:x val="0.22643701555318099"/>
          <c:y val="6.20576139730742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96184455325972E-2"/>
          <c:y val="0.2204053454387411"/>
          <c:w val="0.75709656661677605"/>
          <c:h val="0.65853091280256637"/>
        </c:manualLayout>
      </c:layout>
      <c:barChart>
        <c:barDir val="col"/>
        <c:grouping val="clustered"/>
        <c:varyColors val="0"/>
        <c:ser>
          <c:idx val="0"/>
          <c:order val="0"/>
          <c:tx>
            <c:strRef>
              <c:f>'Department Performance Pivot'!$F$14</c:f>
              <c:strCache>
                <c:ptCount val="1"/>
                <c:pt idx="0">
                  <c:v>Sum of Tasks Completed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Performance Pivot'!$E$15:$E$19</c:f>
              <c:strCache>
                <c:ptCount val="4"/>
                <c:pt idx="0">
                  <c:v>Bangalore</c:v>
                </c:pt>
                <c:pt idx="1">
                  <c:v>Chennai</c:v>
                </c:pt>
                <c:pt idx="2">
                  <c:v>Hyderabad</c:v>
                </c:pt>
                <c:pt idx="3">
                  <c:v>Mumbai</c:v>
                </c:pt>
              </c:strCache>
            </c:strRef>
          </c:cat>
          <c:val>
            <c:numRef>
              <c:f>'Department Performance Pivot'!$F$15:$F$19</c:f>
              <c:numCache>
                <c:formatCode>General</c:formatCode>
                <c:ptCount val="4"/>
                <c:pt idx="0">
                  <c:v>227</c:v>
                </c:pt>
                <c:pt idx="1">
                  <c:v>164</c:v>
                </c:pt>
                <c:pt idx="2">
                  <c:v>112</c:v>
                </c:pt>
                <c:pt idx="3">
                  <c:v>241</c:v>
                </c:pt>
              </c:numCache>
            </c:numRef>
          </c:val>
          <c:extLst>
            <c:ext xmlns:c16="http://schemas.microsoft.com/office/drawing/2014/chart" uri="{C3380CC4-5D6E-409C-BE32-E72D297353CC}">
              <c16:uniqueId val="{00000000-CC6C-413E-87C0-E382206CBF71}"/>
            </c:ext>
          </c:extLst>
        </c:ser>
        <c:ser>
          <c:idx val="1"/>
          <c:order val="1"/>
          <c:tx>
            <c:strRef>
              <c:f>'Department Performance Pivot'!$G$14</c:f>
              <c:strCache>
                <c:ptCount val="1"/>
                <c:pt idx="0">
                  <c:v>Average of Performance Score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Performance Pivot'!$E$15:$E$19</c:f>
              <c:strCache>
                <c:ptCount val="4"/>
                <c:pt idx="0">
                  <c:v>Bangalore</c:v>
                </c:pt>
                <c:pt idx="1">
                  <c:v>Chennai</c:v>
                </c:pt>
                <c:pt idx="2">
                  <c:v>Hyderabad</c:v>
                </c:pt>
                <c:pt idx="3">
                  <c:v>Mumbai</c:v>
                </c:pt>
              </c:strCache>
            </c:strRef>
          </c:cat>
          <c:val>
            <c:numRef>
              <c:f>'Department Performance Pivot'!$G$15:$G$19</c:f>
              <c:numCache>
                <c:formatCode>General</c:formatCode>
                <c:ptCount val="4"/>
                <c:pt idx="0">
                  <c:v>6.4782608695652177</c:v>
                </c:pt>
                <c:pt idx="1">
                  <c:v>6.52</c:v>
                </c:pt>
                <c:pt idx="2">
                  <c:v>6.88</c:v>
                </c:pt>
                <c:pt idx="3">
                  <c:v>6.3703703703703702</c:v>
                </c:pt>
              </c:numCache>
            </c:numRef>
          </c:val>
          <c:extLst>
            <c:ext xmlns:c16="http://schemas.microsoft.com/office/drawing/2014/chart" uri="{C3380CC4-5D6E-409C-BE32-E72D297353CC}">
              <c16:uniqueId val="{00000001-CC6C-413E-87C0-E382206CBF71}"/>
            </c:ext>
          </c:extLst>
        </c:ser>
        <c:dLbls>
          <c:dLblPos val="outEnd"/>
          <c:showLegendKey val="0"/>
          <c:showVal val="1"/>
          <c:showCatName val="0"/>
          <c:showSerName val="0"/>
          <c:showPercent val="0"/>
          <c:showBubbleSize val="0"/>
        </c:dLbls>
        <c:gapWidth val="219"/>
        <c:overlap val="-27"/>
        <c:axId val="2083472975"/>
        <c:axId val="2083489775"/>
      </c:barChart>
      <c:catAx>
        <c:axId val="2083472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3489775"/>
        <c:crosses val="autoZero"/>
        <c:auto val="1"/>
        <c:lblAlgn val="ctr"/>
        <c:lblOffset val="100"/>
        <c:noMultiLvlLbl val="0"/>
      </c:catAx>
      <c:valAx>
        <c:axId val="2083489775"/>
        <c:scaling>
          <c:orientation val="minMax"/>
        </c:scaling>
        <c:delete val="1"/>
        <c:axPos val="l"/>
        <c:numFmt formatCode="General" sourceLinked="1"/>
        <c:majorTickMark val="out"/>
        <c:minorTickMark val="none"/>
        <c:tickLblPos val="nextTo"/>
        <c:crossAx val="2083472975"/>
        <c:crosses val="autoZero"/>
        <c:crossBetween val="between"/>
      </c:valAx>
      <c:spPr>
        <a:noFill/>
        <a:ln>
          <a:noFill/>
        </a:ln>
        <a:effectLst>
          <a:outerShdw blurRad="50800" dist="50800" dir="5400000" sx="106000" sy="106000" algn="ctr" rotWithShape="0">
            <a:schemeClr val="accent2">
              <a:lumMod val="40000"/>
              <a:lumOff val="60000"/>
            </a:schemeClr>
          </a:outerShdw>
        </a:effectLst>
      </c:spPr>
    </c:plotArea>
    <c:legend>
      <c:legendPos val="b"/>
      <c:layout>
        <c:manualLayout>
          <c:xMode val="edge"/>
          <c:yMode val="edge"/>
          <c:x val="0.1591141663491531"/>
          <c:y val="0.91916458814577739"/>
          <c:w val="0.80720668791696604"/>
          <c:h val="7.75005587052791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123166</xdr:colOff>
      <xdr:row>4</xdr:row>
      <xdr:rowOff>225490</xdr:rowOff>
    </xdr:from>
    <xdr:to>
      <xdr:col>7</xdr:col>
      <xdr:colOff>367006</xdr:colOff>
      <xdr:row>21</xdr:row>
      <xdr:rowOff>167035</xdr:rowOff>
    </xdr:to>
    <xdr:graphicFrame macro="">
      <xdr:nvGraphicFramePr>
        <xdr:cNvPr id="2" name="Chart 1">
          <a:extLst>
            <a:ext uri="{FF2B5EF4-FFF2-40B4-BE49-F238E27FC236}">
              <a16:creationId xmlns:a16="http://schemas.microsoft.com/office/drawing/2014/main" id="{E69FC591-028C-41C3-B81F-FEBE6A13A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23591</xdr:colOff>
      <xdr:row>7</xdr:row>
      <xdr:rowOff>13880</xdr:rowOff>
    </xdr:from>
    <xdr:to>
      <xdr:col>15</xdr:col>
      <xdr:colOff>255923</xdr:colOff>
      <xdr:row>21</xdr:row>
      <xdr:rowOff>44360</xdr:rowOff>
    </xdr:to>
    <xdr:graphicFrame macro="">
      <xdr:nvGraphicFramePr>
        <xdr:cNvPr id="3" name="Chart 2">
          <a:extLst>
            <a:ext uri="{FF2B5EF4-FFF2-40B4-BE49-F238E27FC236}">
              <a16:creationId xmlns:a16="http://schemas.microsoft.com/office/drawing/2014/main" id="{91A2B52B-EC1C-4A32-B9A5-B3D3EBADB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107769</xdr:colOff>
      <xdr:row>21</xdr:row>
      <xdr:rowOff>99060</xdr:rowOff>
    </xdr:from>
    <xdr:to>
      <xdr:col>7</xdr:col>
      <xdr:colOff>488769</xdr:colOff>
      <xdr:row>35</xdr:row>
      <xdr:rowOff>125581</xdr:rowOff>
    </xdr:to>
    <xdr:graphicFrame macro="">
      <xdr:nvGraphicFramePr>
        <xdr:cNvPr id="4" name="Chart 3">
          <a:extLst>
            <a:ext uri="{FF2B5EF4-FFF2-40B4-BE49-F238E27FC236}">
              <a16:creationId xmlns:a16="http://schemas.microsoft.com/office/drawing/2014/main" id="{80C3EDB0-7A58-4699-AD7D-9A086BDE8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253450</xdr:colOff>
      <xdr:row>18</xdr:row>
      <xdr:rowOff>102302</xdr:rowOff>
    </xdr:from>
    <xdr:to>
      <xdr:col>18</xdr:col>
      <xdr:colOff>19537</xdr:colOff>
      <xdr:row>34</xdr:row>
      <xdr:rowOff>21897</xdr:rowOff>
    </xdr:to>
    <xdr:graphicFrame macro="">
      <xdr:nvGraphicFramePr>
        <xdr:cNvPr id="5" name="Chart 4">
          <a:extLst>
            <a:ext uri="{FF2B5EF4-FFF2-40B4-BE49-F238E27FC236}">
              <a16:creationId xmlns:a16="http://schemas.microsoft.com/office/drawing/2014/main" id="{59C401ED-9974-401C-A084-2CC780287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609719</xdr:colOff>
      <xdr:row>19</xdr:row>
      <xdr:rowOff>55131</xdr:rowOff>
    </xdr:from>
    <xdr:to>
      <xdr:col>13</xdr:col>
      <xdr:colOff>518280</xdr:colOff>
      <xdr:row>34</xdr:row>
      <xdr:rowOff>55131</xdr:rowOff>
    </xdr:to>
    <xdr:graphicFrame macro="">
      <xdr:nvGraphicFramePr>
        <xdr:cNvPr id="6" name="Dashboard">
          <a:extLst>
            <a:ext uri="{FF2B5EF4-FFF2-40B4-BE49-F238E27FC236}">
              <a16:creationId xmlns:a16="http://schemas.microsoft.com/office/drawing/2014/main" id="{7CDA830E-CC6B-49B1-BCFE-F63F5BB96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406789</xdr:colOff>
      <xdr:row>9</xdr:row>
      <xdr:rowOff>13411</xdr:rowOff>
    </xdr:from>
    <xdr:to>
      <xdr:col>17</xdr:col>
      <xdr:colOff>218967</xdr:colOff>
      <xdr:row>13</xdr:row>
      <xdr:rowOff>166998</xdr:rowOff>
    </xdr:to>
    <mc:AlternateContent xmlns:mc="http://schemas.openxmlformats.org/markup-compatibility/2006">
      <mc:Choice xmlns:a14="http://schemas.microsoft.com/office/drawing/2010/main" Requires="a14">
        <xdr:graphicFrame macro="">
          <xdr:nvGraphicFramePr>
            <xdr:cNvPr id="9" name="Department  1">
              <a:extLst>
                <a:ext uri="{FF2B5EF4-FFF2-40B4-BE49-F238E27FC236}">
                  <a16:creationId xmlns:a16="http://schemas.microsoft.com/office/drawing/2014/main" id="{862933AD-DAD3-4729-ADFD-E3F1F88F612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843866" y="1845142"/>
              <a:ext cx="1834409" cy="856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402184</xdr:colOff>
      <xdr:row>4</xdr:row>
      <xdr:rowOff>133391</xdr:rowOff>
    </xdr:from>
    <xdr:to>
      <xdr:col>17</xdr:col>
      <xdr:colOff>216776</xdr:colOff>
      <xdr:row>8</xdr:row>
      <xdr:rowOff>165255</xdr:rowOff>
    </xdr:to>
    <mc:AlternateContent xmlns:mc="http://schemas.openxmlformats.org/markup-compatibility/2006">
      <mc:Choice xmlns:a14="http://schemas.microsoft.com/office/drawing/2010/main" Requires="a14">
        <xdr:graphicFrame macro="">
          <xdr:nvGraphicFramePr>
            <xdr:cNvPr id="11" name="Location">
              <a:extLst>
                <a:ext uri="{FF2B5EF4-FFF2-40B4-BE49-F238E27FC236}">
                  <a16:creationId xmlns:a16="http://schemas.microsoft.com/office/drawing/2014/main" id="{0BC0CFEE-C495-4A57-AEFD-F649DFFCA8D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839261" y="954006"/>
              <a:ext cx="1836823" cy="867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388283</xdr:colOff>
      <xdr:row>0</xdr:row>
      <xdr:rowOff>61359</xdr:rowOff>
    </xdr:from>
    <xdr:to>
      <xdr:col>17</xdr:col>
      <xdr:colOff>187595</xdr:colOff>
      <xdr:row>4</xdr:row>
      <xdr:rowOff>116636</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AE4C433F-A21D-43B0-A1EF-E953D1AD2CA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825360" y="61359"/>
              <a:ext cx="1821543" cy="875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114756</xdr:colOff>
      <xdr:row>3</xdr:row>
      <xdr:rowOff>39414</xdr:rowOff>
    </xdr:from>
    <xdr:to>
      <xdr:col>3</xdr:col>
      <xdr:colOff>215838</xdr:colOff>
      <xdr:row>6</xdr:row>
      <xdr:rowOff>151086</xdr:rowOff>
    </xdr:to>
    <xdr:sp macro="" textlink="KPI_Summary!B2">
      <xdr:nvSpPr>
        <xdr:cNvPr id="15" name="Rectangle: Rounded Corners 14">
          <a:extLst>
            <a:ext uri="{FF2B5EF4-FFF2-40B4-BE49-F238E27FC236}">
              <a16:creationId xmlns:a16="http://schemas.microsoft.com/office/drawing/2014/main" id="{8A337102-B2AA-D391-F54D-0BA120BA6ACE}"/>
            </a:ext>
          </a:extLst>
        </xdr:cNvPr>
        <xdr:cNvSpPr/>
      </xdr:nvSpPr>
      <xdr:spPr>
        <a:xfrm>
          <a:off x="114756" y="571500"/>
          <a:ext cx="2111185" cy="88681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Tw Cen MT"/>
            </a:rPr>
            <a:t>        </a:t>
          </a:r>
          <a:fld id="{23C31029-1B83-454B-9F07-8A2E693A17A6}" type="TxLink">
            <a:rPr lang="en-US" sz="2400" b="1" i="0" u="none" strike="noStrike">
              <a:solidFill>
                <a:srgbClr val="000000"/>
              </a:solidFill>
              <a:latin typeface="Tw Cen MT"/>
            </a:rPr>
            <a:t>102</a:t>
          </a:fld>
          <a:r>
            <a:rPr lang="en-US" sz="1100" b="0" i="0" u="none" strike="noStrike">
              <a:solidFill>
                <a:srgbClr val="000000"/>
              </a:solidFill>
              <a:latin typeface="Tw Cen MT"/>
            </a:rPr>
            <a:t>                                     </a:t>
          </a:r>
          <a:r>
            <a:rPr lang="en-US" sz="2000" b="1" i="0" u="none" strike="noStrike">
              <a:solidFill>
                <a:srgbClr val="000000"/>
              </a:solidFill>
              <a:latin typeface="Tw Cen MT"/>
            </a:rPr>
            <a:t>Total</a:t>
          </a:r>
          <a:r>
            <a:rPr lang="en-US" sz="1100" b="0" i="0" u="none" strike="noStrike" baseline="0">
              <a:solidFill>
                <a:srgbClr val="000000"/>
              </a:solidFill>
              <a:latin typeface="Tw Cen MT"/>
            </a:rPr>
            <a:t> </a:t>
          </a:r>
          <a:r>
            <a:rPr lang="en-US" sz="2000" b="1" i="0" u="none" strike="noStrike" baseline="0">
              <a:solidFill>
                <a:srgbClr val="000000"/>
              </a:solidFill>
              <a:latin typeface="Tw Cen MT"/>
            </a:rPr>
            <a:t>Employees</a:t>
          </a:r>
          <a:endParaRPr lang="en-IN" sz="2000" b="1">
            <a:solidFill>
              <a:schemeClr val="tx1"/>
            </a:solidFill>
          </a:endParaRPr>
        </a:p>
      </xdr:txBody>
    </xdr:sp>
    <xdr:clientData/>
  </xdr:twoCellAnchor>
  <xdr:twoCellAnchor>
    <xdr:from>
      <xdr:col>3</xdr:col>
      <xdr:colOff>262491</xdr:colOff>
      <xdr:row>3</xdr:row>
      <xdr:rowOff>32846</xdr:rowOff>
    </xdr:from>
    <xdr:to>
      <xdr:col>6</xdr:col>
      <xdr:colOff>363572</xdr:colOff>
      <xdr:row>6</xdr:row>
      <xdr:rowOff>54696</xdr:rowOff>
    </xdr:to>
    <xdr:sp macro="" textlink="">
      <xdr:nvSpPr>
        <xdr:cNvPr id="17" name="Rectangle: Rounded Corners 16">
          <a:extLst>
            <a:ext uri="{FF2B5EF4-FFF2-40B4-BE49-F238E27FC236}">
              <a16:creationId xmlns:a16="http://schemas.microsoft.com/office/drawing/2014/main" id="{5B0CC59B-0EAC-46F7-B3C1-9C37C73EDB14}"/>
            </a:ext>
          </a:extLst>
        </xdr:cNvPr>
        <xdr:cNvSpPr/>
      </xdr:nvSpPr>
      <xdr:spPr>
        <a:xfrm>
          <a:off x="2272594" y="564932"/>
          <a:ext cx="2111185" cy="796988"/>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         6.56</a:t>
          </a:r>
          <a:r>
            <a:rPr lang="en-US" sz="2400" b="1">
              <a:solidFill>
                <a:schemeClr val="tx1"/>
              </a:solidFill>
            </a:rPr>
            <a:t>  </a:t>
          </a:r>
          <a:r>
            <a:rPr lang="en-US" sz="1600" b="1"/>
            <a:t>                                    </a:t>
          </a:r>
          <a:r>
            <a:rPr lang="en-US" sz="1800" b="1">
              <a:solidFill>
                <a:schemeClr val="tx1"/>
              </a:solidFill>
            </a:rPr>
            <a:t>Avg</a:t>
          </a:r>
          <a:r>
            <a:rPr lang="en-US" sz="1800" b="1" baseline="0">
              <a:solidFill>
                <a:schemeClr val="tx1"/>
              </a:solidFill>
            </a:rPr>
            <a:t> Performance</a:t>
          </a:r>
          <a:endParaRPr lang="en-US" sz="1800" b="1">
            <a:solidFill>
              <a:schemeClr val="tx1"/>
            </a:solidFill>
          </a:endParaRPr>
        </a:p>
      </xdr:txBody>
    </xdr:sp>
    <xdr:clientData/>
  </xdr:twoCellAnchor>
  <xdr:twoCellAnchor>
    <xdr:from>
      <xdr:col>6</xdr:col>
      <xdr:colOff>392932</xdr:colOff>
      <xdr:row>3</xdr:row>
      <xdr:rowOff>39414</xdr:rowOff>
    </xdr:from>
    <xdr:to>
      <xdr:col>9</xdr:col>
      <xdr:colOff>494014</xdr:colOff>
      <xdr:row>6</xdr:row>
      <xdr:rowOff>62471</xdr:rowOff>
    </xdr:to>
    <xdr:sp macro="" textlink="KPI_Summary!B7">
      <xdr:nvSpPr>
        <xdr:cNvPr id="19" name="Rectangle: Rounded Corners 18">
          <a:extLst>
            <a:ext uri="{FF2B5EF4-FFF2-40B4-BE49-F238E27FC236}">
              <a16:creationId xmlns:a16="http://schemas.microsoft.com/office/drawing/2014/main" id="{B8163F3A-12EB-473A-A2D7-4749ABF4157F}"/>
            </a:ext>
          </a:extLst>
        </xdr:cNvPr>
        <xdr:cNvSpPr/>
      </xdr:nvSpPr>
      <xdr:spPr>
        <a:xfrm>
          <a:off x="4413139" y="571500"/>
          <a:ext cx="2111185" cy="79819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Tw Cen MT"/>
            </a:rPr>
            <a:t>       </a:t>
          </a:r>
          <a:fld id="{1FB8EB05-2C11-4132-8322-496DB1434E1C}" type="TxLink">
            <a:rPr lang="en-US" sz="2000" b="1" i="0" u="none" strike="noStrike">
              <a:solidFill>
                <a:srgbClr val="000000"/>
              </a:solidFill>
              <a:latin typeface="Tw Cen MT"/>
            </a:rPr>
            <a:t>28%</a:t>
          </a:fld>
          <a:r>
            <a:rPr lang="en-US" sz="2000" b="1" i="0" u="none" strike="noStrike">
              <a:solidFill>
                <a:srgbClr val="000000"/>
              </a:solidFill>
              <a:latin typeface="Tw Cen MT"/>
            </a:rPr>
            <a:t>     Attendence</a:t>
          </a:r>
          <a:endParaRPr lang="en-IN" sz="2000" b="1"/>
        </a:p>
      </xdr:txBody>
    </xdr:sp>
    <xdr:clientData/>
  </xdr:twoCellAnchor>
  <xdr:twoCellAnchor>
    <xdr:from>
      <xdr:col>9</xdr:col>
      <xdr:colOff>523372</xdr:colOff>
      <xdr:row>3</xdr:row>
      <xdr:rowOff>32846</xdr:rowOff>
    </xdr:from>
    <xdr:to>
      <xdr:col>13</xdr:col>
      <xdr:colOff>17964</xdr:colOff>
      <xdr:row>6</xdr:row>
      <xdr:rowOff>59522</xdr:rowOff>
    </xdr:to>
    <xdr:sp macro="" textlink="KPI_Summary!B9">
      <xdr:nvSpPr>
        <xdr:cNvPr id="21" name="Rectangle: Rounded Corners 20">
          <a:extLst>
            <a:ext uri="{FF2B5EF4-FFF2-40B4-BE49-F238E27FC236}">
              <a16:creationId xmlns:a16="http://schemas.microsoft.com/office/drawing/2014/main" id="{D12C5C3B-92DA-4911-8197-85CB3B9FC89A}"/>
            </a:ext>
          </a:extLst>
        </xdr:cNvPr>
        <xdr:cNvSpPr/>
      </xdr:nvSpPr>
      <xdr:spPr>
        <a:xfrm>
          <a:off x="6553682" y="564932"/>
          <a:ext cx="2174730" cy="80181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000000"/>
              </a:solidFill>
              <a:latin typeface="Tw Cen MT"/>
            </a:rPr>
            <a:t>        </a:t>
          </a:r>
          <a:fld id="{A82E7851-894B-4601-9E55-CCD8C95A021E}" type="TxLink">
            <a:rPr lang="en-US" sz="2000" b="1" i="0" u="none" strike="noStrike">
              <a:solidFill>
                <a:srgbClr val="000000"/>
              </a:solidFill>
              <a:latin typeface="Tw Cen MT"/>
            </a:rPr>
            <a:t>744</a:t>
          </a:fld>
          <a:r>
            <a:rPr lang="en-US" sz="1100" b="0" i="0" u="none" strike="noStrike" baseline="0">
              <a:solidFill>
                <a:srgbClr val="000000"/>
              </a:solidFill>
              <a:latin typeface="Tw Cen MT"/>
            </a:rPr>
            <a:t>                          </a:t>
          </a:r>
          <a:r>
            <a:rPr lang="en-US" sz="1800" b="1" i="0" u="none" strike="noStrike" baseline="0">
              <a:solidFill>
                <a:srgbClr val="000000"/>
              </a:solidFill>
              <a:latin typeface="Tw Cen MT"/>
            </a:rPr>
            <a:t>Tasks</a:t>
          </a:r>
          <a:r>
            <a:rPr lang="en-US" sz="1100" b="0" i="0" u="none" strike="noStrike" baseline="0">
              <a:solidFill>
                <a:srgbClr val="000000"/>
              </a:solidFill>
              <a:latin typeface="Tw Cen MT"/>
            </a:rPr>
            <a:t> </a:t>
          </a:r>
          <a:r>
            <a:rPr lang="en-US" sz="2000" b="1" i="0" u="none" strike="noStrike" baseline="0">
              <a:solidFill>
                <a:schemeClr val="tx1"/>
              </a:solidFill>
              <a:latin typeface="Tw Cen MT"/>
            </a:rPr>
            <a:t>Completed</a:t>
          </a:r>
          <a:endParaRPr lang="en-IN" sz="2000" b="1">
            <a:solidFill>
              <a:schemeClr val="tx1"/>
            </a:solidFill>
          </a:endParaRPr>
        </a:p>
      </xdr:txBody>
    </xdr:sp>
    <xdr:clientData/>
  </xdr:twoCellAnchor>
  <xdr:twoCellAnchor>
    <xdr:from>
      <xdr:col>0</xdr:col>
      <xdr:colOff>59123</xdr:colOff>
      <xdr:row>0</xdr:row>
      <xdr:rowOff>72259</xdr:rowOff>
    </xdr:from>
    <xdr:to>
      <xdr:col>14</xdr:col>
      <xdr:colOff>374432</xdr:colOff>
      <xdr:row>2</xdr:row>
      <xdr:rowOff>170793</xdr:rowOff>
    </xdr:to>
    <xdr:sp macro="" textlink="">
      <xdr:nvSpPr>
        <xdr:cNvPr id="8" name="Rectangle 7">
          <a:extLst>
            <a:ext uri="{FF2B5EF4-FFF2-40B4-BE49-F238E27FC236}">
              <a16:creationId xmlns:a16="http://schemas.microsoft.com/office/drawing/2014/main" id="{27B79BF0-9848-A175-03F5-BD9C790B04A9}"/>
            </a:ext>
          </a:extLst>
        </xdr:cNvPr>
        <xdr:cNvSpPr/>
      </xdr:nvSpPr>
      <xdr:spPr>
        <a:xfrm>
          <a:off x="59123" y="72259"/>
          <a:ext cx="9695792" cy="4532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              HR Employee Performance &amp; Attendance Dashboard</a:t>
          </a:r>
        </a:p>
      </xdr:txBody>
    </xdr:sp>
    <xdr:clientData/>
  </xdr:twoCellAnchor>
  <xdr:twoCellAnchor editAs="oneCell">
    <xdr:from>
      <xdr:col>14</xdr:col>
      <xdr:colOff>411655</xdr:colOff>
      <xdr:row>14</xdr:row>
      <xdr:rowOff>35034</xdr:rowOff>
    </xdr:from>
    <xdr:to>
      <xdr:col>17</xdr:col>
      <xdr:colOff>217214</xdr:colOff>
      <xdr:row>19</xdr:row>
      <xdr:rowOff>26276</xdr:rowOff>
    </xdr:to>
    <mc:AlternateContent xmlns:mc="http://schemas.openxmlformats.org/markup-compatibility/2006">
      <mc:Choice xmlns:a14="http://schemas.microsoft.com/office/drawing/2010/main" Requires="a14">
        <xdr:graphicFrame macro="">
          <xdr:nvGraphicFramePr>
            <xdr:cNvPr id="12" name="Attendance Status">
              <a:extLst>
                <a:ext uri="{FF2B5EF4-FFF2-40B4-BE49-F238E27FC236}">
                  <a16:creationId xmlns:a16="http://schemas.microsoft.com/office/drawing/2014/main" id="{8934AED6-E813-482F-878E-66ECE3E37CF0}"/>
                </a:ext>
              </a:extLst>
            </xdr:cNvPr>
            <xdr:cNvGraphicFramePr/>
          </xdr:nvGraphicFramePr>
          <xdr:xfrm>
            <a:off x="0" y="0"/>
            <a:ext cx="0" cy="0"/>
          </xdr:xfrm>
          <a:graphic>
            <a:graphicData uri="http://schemas.microsoft.com/office/drawing/2010/slicer">
              <sle:slicer xmlns:sle="http://schemas.microsoft.com/office/drawing/2010/slicer" name="Attendance Status"/>
            </a:graphicData>
          </a:graphic>
        </xdr:graphicFrame>
      </mc:Choice>
      <mc:Fallback>
        <xdr:sp macro="" textlink="">
          <xdr:nvSpPr>
            <xdr:cNvPr id="0" name=""/>
            <xdr:cNvSpPr>
              <a:spLocks noTextEdit="1"/>
            </xdr:cNvSpPr>
          </xdr:nvSpPr>
          <xdr:spPr>
            <a:xfrm>
              <a:off x="9848732" y="2745996"/>
              <a:ext cx="1827790" cy="870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4.606077893521" createdVersion="8" refreshedVersion="8" minRefreshableVersion="3" recordCount="100" xr:uid="{73573C64-DAE0-4531-A236-14A66C4EEF41}">
  <cacheSource type="worksheet">
    <worksheetSource name="HR_CleanTable"/>
  </cacheSource>
  <cacheFields count="23">
    <cacheField name="Employee ID" numFmtId="0">
      <sharedItems/>
    </cacheField>
    <cacheField name="Employee Name " numFmtId="0">
      <sharedItems/>
    </cacheField>
    <cacheField name="Department " numFmtId="0">
      <sharedItems count="4">
        <s v="IT"/>
        <s v="Finance"/>
        <s v="Sales"/>
        <s v="HR"/>
      </sharedItems>
    </cacheField>
    <cacheField name="Job Role" numFmtId="0">
      <sharedItems/>
    </cacheField>
    <cacheField name="Location" numFmtId="0">
      <sharedItems/>
    </cacheField>
    <cacheField name="Date" numFmtId="14">
      <sharedItems containsSemiMixedTypes="0" containsNonDate="0" containsDate="1" containsString="0" minDate="2025-01-18T00:00:00" maxDate="2025-04-28T00:00:00"/>
    </cacheField>
    <cacheField name="Month" numFmtId="0">
      <sharedItems/>
    </cacheField>
    <cacheField name="Attendance Status" numFmtId="0">
      <sharedItems/>
    </cacheField>
    <cacheField name="Working Hours " numFmtId="0">
      <sharedItems containsSemiMixedTypes="0" containsString="0" containsNumber="1" containsInteger="1" minValue="0" maxValue="8"/>
    </cacheField>
    <cacheField name="Overtime Hours" numFmtId="0">
      <sharedItems containsSemiMixedTypes="0" containsString="0" containsNumber="1" containsInteger="1" minValue="0" maxValue="3"/>
    </cacheField>
    <cacheField name="Tasks Completed" numFmtId="0">
      <sharedItems containsSemiMixedTypes="0" containsString="0" containsNumber="1" containsInteger="1" minValue="0" maxValue="20"/>
    </cacheField>
    <cacheField name="Performance Score" numFmtId="0">
      <sharedItems containsSemiMixedTypes="0" containsString="0" containsNumber="1" containsInteger="1" minValue="3" maxValue="10"/>
    </cacheField>
    <cacheField name="Target Task" numFmtId="0">
      <sharedItems containsSemiMixedTypes="0" containsString="0" containsNumber="1" containsInteger="1" minValue="10" maxValue="20"/>
    </cacheField>
    <cacheField name="Achievement %" numFmtId="9">
      <sharedItems containsSemiMixedTypes="0" containsString="0" containsNumber="1" minValue="0" maxValue="2"/>
    </cacheField>
    <cacheField name="Salary" numFmtId="0">
      <sharedItems containsSemiMixedTypes="0" containsString="0" containsNumber="1" containsInteger="1" minValue="25102" maxValue="49294"/>
    </cacheField>
    <cacheField name="Bonus Eligibility" numFmtId="0">
      <sharedItems/>
    </cacheField>
    <cacheField name="Manager Rating" numFmtId="0">
      <sharedItems containsSemiMixedTypes="0" containsString="0" containsNumber="1" containsInteger="1" minValue="3" maxValue="10"/>
    </cacheField>
    <cacheField name="Remarks" numFmtId="0">
      <sharedItems/>
    </cacheField>
    <cacheField name="Clean Employee Name" numFmtId="0">
      <sharedItems/>
    </cacheField>
    <cacheField name="Clean Department" numFmtId="0">
      <sharedItems/>
    </cacheField>
    <cacheField name="Clean Attendance" numFmtId="0">
      <sharedItems/>
    </cacheField>
    <cacheField name="Safe Achievement %" numFmtId="9">
      <sharedItems containsSemiMixedTypes="0" containsString="0" containsNumber="1" minValue="0" maxValue="2"/>
    </cacheField>
    <cacheField name="Data 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4.609550810186" createdVersion="8" refreshedVersion="8" minRefreshableVersion="3" recordCount="100" xr:uid="{A60856C7-67A8-4B38-B9B6-EE9FBFD52B31}">
  <cacheSource type="worksheet">
    <worksheetSource ref="A1:R101" sheet="Raw_Data"/>
  </cacheSource>
  <cacheFields count="18">
    <cacheField name="Employee ID" numFmtId="0">
      <sharedItems/>
    </cacheField>
    <cacheField name="Employee Name " numFmtId="0">
      <sharedItems count="10">
        <s v="Meena"/>
        <s v="Pooja"/>
        <s v="Priya"/>
        <s v="Arjun"/>
        <s v="Kiran"/>
        <s v="Sneha"/>
        <s v="Varun"/>
        <s v="Ravi"/>
        <s v="Rohit"/>
        <s v="Asha"/>
      </sharedItems>
    </cacheField>
    <cacheField name="Department " numFmtId="0">
      <sharedItems count="4">
        <s v="IT"/>
        <s v="Finance"/>
        <s v="Sales"/>
        <s v="HR"/>
      </sharedItems>
    </cacheField>
    <cacheField name="Job Role" numFmtId="0">
      <sharedItems count="6">
        <s v="Developer"/>
        <s v="Recruiter"/>
        <s v="Tester"/>
        <s v="Analyst"/>
        <s v="Manager"/>
        <s v="Executive"/>
      </sharedItems>
    </cacheField>
    <cacheField name="Location" numFmtId="0">
      <sharedItems count="4">
        <s v="Bangalore"/>
        <s v="Mumbai"/>
        <s v="Hyderabad"/>
        <s v="Chennai"/>
      </sharedItems>
    </cacheField>
    <cacheField name="Date" numFmtId="14">
      <sharedItems containsSemiMixedTypes="0" containsNonDate="0" containsDate="1" containsString="0" minDate="2025-01-18T00:00:00" maxDate="2025-04-28T00:00:00" count="1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sharedItems>
    </cacheField>
    <cacheField name="Month" numFmtId="0">
      <sharedItems count="4">
        <s v="January"/>
        <s v="February"/>
        <s v="March"/>
        <s v="April"/>
      </sharedItems>
    </cacheField>
    <cacheField name="Attendance Status" numFmtId="0">
      <sharedItems count="4">
        <s v="WFH"/>
        <s v="Present"/>
        <s v="Absent"/>
        <s v="Leave"/>
      </sharedItems>
    </cacheField>
    <cacheField name="Working Hours " numFmtId="0">
      <sharedItems containsSemiMixedTypes="0" containsString="0" containsNumber="1" containsInteger="1" minValue="0" maxValue="8"/>
    </cacheField>
    <cacheField name="Overtime Hours" numFmtId="0">
      <sharedItems containsSemiMixedTypes="0" containsString="0" containsNumber="1" containsInteger="1" minValue="0" maxValue="3"/>
    </cacheField>
    <cacheField name="Tasks Completed" numFmtId="0">
      <sharedItems containsSemiMixedTypes="0" containsString="0" containsNumber="1" containsInteger="1" minValue="0" maxValue="20"/>
    </cacheField>
    <cacheField name="Performance Score" numFmtId="0">
      <sharedItems containsSemiMixedTypes="0" containsString="0" containsNumber="1" containsInteger="1" minValue="3" maxValue="10"/>
    </cacheField>
    <cacheField name="Target Task" numFmtId="0">
      <sharedItems containsSemiMixedTypes="0" containsString="0" containsNumber="1" containsInteger="1" minValue="10" maxValue="20"/>
    </cacheField>
    <cacheField name="Achievement %" numFmtId="9">
      <sharedItems containsSemiMixedTypes="0" containsString="0" containsNumber="1" minValue="0" maxValue="2"/>
    </cacheField>
    <cacheField name="Salary" numFmtId="0">
      <sharedItems containsSemiMixedTypes="0" containsString="0" containsNumber="1" containsInteger="1" minValue="25102" maxValue="49294"/>
    </cacheField>
    <cacheField name="Bonus Eligibility" numFmtId="0">
      <sharedItems/>
    </cacheField>
    <cacheField name="Manager Rating" numFmtId="0">
      <sharedItems containsSemiMixedTypes="0" containsString="0" containsNumber="1" containsInteger="1" minValue="3" maxValue="10"/>
    </cacheField>
    <cacheField name="Remarks" numFmtId="0">
      <sharedItems/>
    </cacheField>
  </cacheFields>
  <extLst>
    <ext xmlns:x14="http://schemas.microsoft.com/office/spreadsheetml/2009/9/main" uri="{725AE2AE-9491-48be-B2B4-4EB974FC3084}">
      <x14:pivotCacheDefinition pivotCacheId="296645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s v="Meena"/>
    <x v="0"/>
    <s v="Developer"/>
    <s v="Bangalore"/>
    <d v="2025-01-18T00:00:00"/>
    <s v="January"/>
    <s v="WFH"/>
    <n v="8"/>
    <n v="0"/>
    <n v="10"/>
    <n v="6"/>
    <n v="17"/>
    <n v="0.58823529411764708"/>
    <n v="29441"/>
    <s v="No"/>
    <n v="6"/>
    <s v="Good"/>
    <s v="Meena"/>
    <s v="IT"/>
    <s v="Wfh"/>
    <n v="0.58823529411764708"/>
    <s v="OK"/>
  </r>
  <r>
    <s v="E002"/>
    <s v="Pooja"/>
    <x v="1"/>
    <s v="Recruiter"/>
    <s v="Bangalore"/>
    <d v="2025-01-19T00:00:00"/>
    <s v="January"/>
    <s v="WFH"/>
    <n v="8"/>
    <n v="0"/>
    <n v="20"/>
    <n v="7"/>
    <n v="10"/>
    <n v="2"/>
    <n v="47125"/>
    <s v="Yes"/>
    <n v="7"/>
    <s v="Good"/>
    <s v="Pooja"/>
    <s v="FINANCE"/>
    <s v="Wfh"/>
    <n v="2"/>
    <s v="OK"/>
  </r>
  <r>
    <s v="E003"/>
    <s v="Priya"/>
    <x v="2"/>
    <s v="Developer"/>
    <s v="Mumbai"/>
    <d v="2025-01-20T00:00:00"/>
    <s v="January"/>
    <s v="Present"/>
    <n v="8"/>
    <n v="1"/>
    <n v="19"/>
    <n v="9"/>
    <n v="18"/>
    <n v="1.0555555555555556"/>
    <n v="40946"/>
    <s v="Yes"/>
    <n v="9"/>
    <s v="Excellent"/>
    <s v="Priya"/>
    <s v="SALES"/>
    <s v="Present"/>
    <n v="1.0555555555555556"/>
    <s v="OK"/>
  </r>
  <r>
    <s v="E004"/>
    <s v="Arjun"/>
    <x v="1"/>
    <s v="Recruiter"/>
    <s v="Mumbai"/>
    <d v="2025-01-21T00:00:00"/>
    <s v="January"/>
    <s v="Present"/>
    <n v="8"/>
    <n v="3"/>
    <n v="16"/>
    <n v="10"/>
    <n v="12"/>
    <n v="1.3333333333333333"/>
    <n v="46961"/>
    <s v="Yes"/>
    <n v="10"/>
    <s v="Excellent"/>
    <s v="Arjun"/>
    <s v="FINANCE"/>
    <s v="Present"/>
    <n v="1.3333333333333333"/>
    <s v="OK"/>
  </r>
  <r>
    <s v="E005"/>
    <s v="Kiran"/>
    <x v="3"/>
    <s v="Recruiter"/>
    <s v="Bangalore"/>
    <d v="2025-01-22T00:00:00"/>
    <s v="January"/>
    <s v="Absent"/>
    <n v="0"/>
    <n v="0"/>
    <n v="0"/>
    <n v="9"/>
    <n v="18"/>
    <n v="0"/>
    <n v="43198"/>
    <s v="No"/>
    <n v="9"/>
    <s v="Excellent"/>
    <s v="Kiran"/>
    <s v="HR"/>
    <s v="Absent"/>
    <n v="0"/>
    <s v="OK"/>
  </r>
  <r>
    <s v="E006"/>
    <s v="Sneha"/>
    <x v="0"/>
    <s v="Tester"/>
    <s v="Hyderabad"/>
    <d v="2025-01-23T00:00:00"/>
    <s v="January"/>
    <s v="WFH"/>
    <n v="8"/>
    <n v="0"/>
    <n v="9"/>
    <n v="5"/>
    <n v="17"/>
    <n v="0.52941176470588236"/>
    <n v="37630"/>
    <s v="No"/>
    <n v="5"/>
    <s v="Average"/>
    <s v="Sneha"/>
    <s v="IT"/>
    <s v="Wfh"/>
    <n v="0.52941176470588236"/>
    <s v="OK"/>
  </r>
  <r>
    <s v="E007"/>
    <s v="Varun"/>
    <x v="3"/>
    <s v="Analyst"/>
    <s v="Bangalore"/>
    <d v="2025-01-24T00:00:00"/>
    <s v="January"/>
    <s v="Present"/>
    <n v="8"/>
    <n v="0"/>
    <n v="19"/>
    <n v="8"/>
    <n v="12"/>
    <n v="1.5833333333333333"/>
    <n v="34811"/>
    <s v="Yes"/>
    <n v="8"/>
    <s v="Excellent"/>
    <s v="Varun"/>
    <s v="HR"/>
    <s v="Present"/>
    <n v="1.5833333333333333"/>
    <s v="OK"/>
  </r>
  <r>
    <s v="E008"/>
    <s v="Ravi"/>
    <x v="3"/>
    <s v="Analyst"/>
    <s v="Bangalore"/>
    <d v="2025-01-25T00:00:00"/>
    <s v="January"/>
    <s v="Leave"/>
    <n v="0"/>
    <n v="0"/>
    <n v="0"/>
    <n v="3"/>
    <n v="19"/>
    <n v="0"/>
    <n v="29906"/>
    <s v="No"/>
    <n v="3"/>
    <s v="Poor"/>
    <s v="Ravi"/>
    <s v="HR"/>
    <s v="Leave"/>
    <n v="0"/>
    <s v="OK"/>
  </r>
  <r>
    <s v="E009"/>
    <s v="Arjun"/>
    <x v="2"/>
    <s v="Tester"/>
    <s v="Chennai"/>
    <d v="2025-01-26T00:00:00"/>
    <s v="January"/>
    <s v="WFH"/>
    <n v="8"/>
    <n v="0"/>
    <n v="18"/>
    <n v="10"/>
    <n v="17"/>
    <n v="1.0588235294117647"/>
    <n v="31831"/>
    <s v="Yes"/>
    <n v="10"/>
    <s v="Excellent"/>
    <s v="Arjun"/>
    <s v="SALES"/>
    <s v="Wfh"/>
    <n v="1.0588235294117647"/>
    <s v="OK"/>
  </r>
  <r>
    <s v="E010"/>
    <s v="Rohit"/>
    <x v="3"/>
    <s v="Manager"/>
    <s v="Bangalore"/>
    <d v="2025-01-27T00:00:00"/>
    <s v="January"/>
    <s v="Present"/>
    <n v="8"/>
    <n v="1"/>
    <n v="15"/>
    <n v="4"/>
    <n v="11"/>
    <n v="1.3636363636363635"/>
    <n v="36770"/>
    <s v="Yes"/>
    <n v="4"/>
    <s v="Average"/>
    <s v="Rohit"/>
    <s v="HR"/>
    <s v="Present"/>
    <n v="1.3636363636363635"/>
    <s v="OK"/>
  </r>
  <r>
    <s v="E011"/>
    <s v="Rohit"/>
    <x v="3"/>
    <s v="Tester"/>
    <s v="Chennai"/>
    <d v="2025-01-28T00:00:00"/>
    <s v="January"/>
    <s v="WFH"/>
    <n v="8"/>
    <n v="0"/>
    <n v="18"/>
    <n v="5"/>
    <n v="10"/>
    <n v="1.8"/>
    <n v="32412"/>
    <s v="Yes"/>
    <n v="5"/>
    <s v="Good"/>
    <s v="Rohit"/>
    <s v="HR"/>
    <s v="Wfh"/>
    <n v="1.8"/>
    <s v="OK"/>
  </r>
  <r>
    <s v="E012"/>
    <s v="Ravi"/>
    <x v="2"/>
    <s v="Manager"/>
    <s v="Hyderabad"/>
    <d v="2025-01-29T00:00:00"/>
    <s v="January"/>
    <s v="Absent"/>
    <n v="0"/>
    <n v="0"/>
    <n v="0"/>
    <n v="8"/>
    <n v="12"/>
    <n v="0"/>
    <n v="42165"/>
    <s v="No"/>
    <n v="8"/>
    <s v="Excellent"/>
    <s v="Ravi"/>
    <s v="SALES"/>
    <s v="Absent"/>
    <n v="0"/>
    <s v="OK"/>
  </r>
  <r>
    <s v="E013"/>
    <s v="Pooja"/>
    <x v="2"/>
    <s v="Executive"/>
    <s v="Hyderabad"/>
    <d v="2025-01-30T00:00:00"/>
    <s v="January"/>
    <s v="Leave"/>
    <n v="0"/>
    <n v="0"/>
    <n v="0"/>
    <n v="8"/>
    <n v="11"/>
    <n v="0"/>
    <n v="29872"/>
    <s v="No"/>
    <n v="8"/>
    <s v="Excellent"/>
    <s v="Pooja"/>
    <s v="SALES"/>
    <s v="Leave"/>
    <n v="0"/>
    <s v="OK"/>
  </r>
  <r>
    <s v="E014"/>
    <s v="Priya"/>
    <x v="3"/>
    <s v="Tester"/>
    <s v="Mumbai"/>
    <d v="2025-01-31T00:00:00"/>
    <s v="January"/>
    <s v="Present"/>
    <n v="8"/>
    <n v="1"/>
    <n v="20"/>
    <n v="6"/>
    <n v="17"/>
    <n v="1.1764705882352942"/>
    <n v="31911"/>
    <s v="Yes"/>
    <n v="6"/>
    <s v="Good"/>
    <s v="Priya"/>
    <s v="HR"/>
    <s v="Present"/>
    <n v="1.1764705882352942"/>
    <s v="OK"/>
  </r>
  <r>
    <s v="E015"/>
    <s v="Kiran"/>
    <x v="2"/>
    <s v="Developer"/>
    <s v="Mumbai"/>
    <d v="2025-02-01T00:00:00"/>
    <s v="February"/>
    <s v="WFH"/>
    <n v="8"/>
    <n v="0"/>
    <n v="13"/>
    <n v="9"/>
    <n v="13"/>
    <n v="1"/>
    <n v="45875"/>
    <s v="Yes"/>
    <n v="9"/>
    <s v="Excellent"/>
    <s v="Kiran"/>
    <s v="SALES"/>
    <s v="Wfh"/>
    <n v="1"/>
    <s v="OK"/>
  </r>
  <r>
    <s v="E016"/>
    <s v="Varun"/>
    <x v="3"/>
    <s v="Executive"/>
    <s v="Chennai"/>
    <d v="2025-02-02T00:00:00"/>
    <s v="February"/>
    <s v="Leave"/>
    <n v="0"/>
    <n v="0"/>
    <n v="0"/>
    <n v="4"/>
    <n v="19"/>
    <n v="0"/>
    <n v="31629"/>
    <s v="No"/>
    <n v="4"/>
    <s v="Average"/>
    <s v="Varun"/>
    <s v="HR"/>
    <s v="Leave"/>
    <n v="0"/>
    <s v="OK"/>
  </r>
  <r>
    <s v="E017"/>
    <s v="Meena"/>
    <x v="3"/>
    <s v="Analyst"/>
    <s v="Chennai"/>
    <d v="2025-02-03T00:00:00"/>
    <s v="February"/>
    <s v="Leave"/>
    <n v="0"/>
    <n v="0"/>
    <n v="0"/>
    <n v="6"/>
    <n v="15"/>
    <n v="0"/>
    <n v="49294"/>
    <s v="No"/>
    <n v="6"/>
    <s v="Good"/>
    <s v="Meena"/>
    <s v="HR"/>
    <s v="Leave"/>
    <n v="0"/>
    <s v="OK"/>
  </r>
  <r>
    <s v="E018"/>
    <s v="Sneha"/>
    <x v="0"/>
    <s v="Manager"/>
    <s v="Chennai"/>
    <d v="2025-02-04T00:00:00"/>
    <s v="February"/>
    <s v="Absent"/>
    <n v="0"/>
    <n v="0"/>
    <n v="0"/>
    <n v="4"/>
    <n v="18"/>
    <n v="0"/>
    <n v="42866"/>
    <s v="No"/>
    <n v="4"/>
    <s v="Average"/>
    <s v="Sneha"/>
    <s v="IT"/>
    <s v="Absent"/>
    <n v="0"/>
    <s v="OK"/>
  </r>
  <r>
    <s v="E019"/>
    <s v="Varun"/>
    <x v="3"/>
    <s v="Executive"/>
    <s v="Mumbai"/>
    <d v="2025-02-05T00:00:00"/>
    <s v="February"/>
    <s v="WFH"/>
    <n v="8"/>
    <n v="0"/>
    <n v="17"/>
    <n v="6"/>
    <n v="10"/>
    <n v="1.7"/>
    <n v="42130"/>
    <s v="Yes"/>
    <n v="6"/>
    <s v="Good"/>
    <s v="Varun"/>
    <s v="HR"/>
    <s v="Wfh"/>
    <n v="1.7"/>
    <s v="OK"/>
  </r>
  <r>
    <s v="E020"/>
    <s v="Varun"/>
    <x v="2"/>
    <s v="Developer"/>
    <s v="Mumbai"/>
    <d v="2025-02-06T00:00:00"/>
    <s v="February"/>
    <s v="Present"/>
    <n v="8"/>
    <n v="2"/>
    <n v="6"/>
    <n v="9"/>
    <n v="13"/>
    <n v="0.46153846153846156"/>
    <n v="33563"/>
    <s v="No"/>
    <n v="9"/>
    <s v="Excellent"/>
    <s v="Varun"/>
    <s v="SALES"/>
    <s v="Present"/>
    <n v="0.46153846153846156"/>
    <s v="OK"/>
  </r>
  <r>
    <s v="E021"/>
    <s v="Sneha"/>
    <x v="0"/>
    <s v="Executive"/>
    <s v="Hyderabad"/>
    <d v="2025-02-07T00:00:00"/>
    <s v="February"/>
    <s v="Absent"/>
    <n v="0"/>
    <n v="0"/>
    <n v="0"/>
    <n v="6"/>
    <n v="14"/>
    <n v="0"/>
    <n v="39801"/>
    <s v="No"/>
    <n v="6"/>
    <s v="Good"/>
    <s v="Sneha"/>
    <s v="IT"/>
    <s v="Absent"/>
    <n v="0"/>
    <s v="OK"/>
  </r>
  <r>
    <s v="E022"/>
    <s v="Sneha"/>
    <x v="1"/>
    <s v="Developer"/>
    <s v="Bangalore"/>
    <d v="2025-02-08T00:00:00"/>
    <s v="February"/>
    <s v="WFH"/>
    <n v="8"/>
    <n v="0"/>
    <n v="15"/>
    <n v="8"/>
    <n v="20"/>
    <n v="0.75"/>
    <n v="40276"/>
    <s v="No"/>
    <n v="8"/>
    <s v="Excellent"/>
    <s v="Sneha"/>
    <s v="FINANCE"/>
    <s v="Wfh"/>
    <n v="0.75"/>
    <s v="OK"/>
  </r>
  <r>
    <s v="E023"/>
    <s v="Pooja"/>
    <x v="1"/>
    <s v="Analyst"/>
    <s v="Bangalore"/>
    <d v="2025-02-09T00:00:00"/>
    <s v="February"/>
    <s v="Present"/>
    <n v="8"/>
    <n v="3"/>
    <n v="15"/>
    <n v="8"/>
    <n v="19"/>
    <n v="0.78947368421052633"/>
    <n v="31993"/>
    <s v="No"/>
    <n v="8"/>
    <s v="Excellent"/>
    <s v="Pooja"/>
    <s v="FINANCE"/>
    <s v="Present"/>
    <n v="0.78947368421052633"/>
    <s v="OK"/>
  </r>
  <r>
    <s v="E024"/>
    <s v="Arjun"/>
    <x v="1"/>
    <s v="Recruiter"/>
    <s v="Hyderabad"/>
    <d v="2025-02-10T00:00:00"/>
    <s v="February"/>
    <s v="WFH"/>
    <n v="8"/>
    <n v="0"/>
    <n v="15"/>
    <n v="8"/>
    <n v="18"/>
    <n v="0.83333333333333337"/>
    <n v="34108"/>
    <s v="No"/>
    <n v="8"/>
    <s v="Excellent"/>
    <s v="Arjun"/>
    <s v="FINANCE"/>
    <s v="Wfh"/>
    <n v="0.83333333333333337"/>
    <s v="OK"/>
  </r>
  <r>
    <s v="E025"/>
    <s v="Kiran"/>
    <x v="1"/>
    <s v="Manager"/>
    <s v="Mumbai"/>
    <d v="2025-02-11T00:00:00"/>
    <s v="February"/>
    <s v="Present"/>
    <n v="8"/>
    <n v="2"/>
    <n v="6"/>
    <n v="4"/>
    <n v="13"/>
    <n v="0.46153846153846156"/>
    <n v="43688"/>
    <s v="No"/>
    <n v="4"/>
    <s v="Average"/>
    <s v="Kiran"/>
    <s v="FINANCE"/>
    <s v="Present"/>
    <n v="0.46153846153846156"/>
    <s v="OK"/>
  </r>
  <r>
    <s v="E026"/>
    <s v="Arjun"/>
    <x v="0"/>
    <s v="Manager"/>
    <s v="Mumbai"/>
    <d v="2025-02-12T00:00:00"/>
    <s v="February"/>
    <s v="WFH"/>
    <n v="8"/>
    <n v="0"/>
    <n v="15"/>
    <n v="8"/>
    <n v="12"/>
    <n v="1.25"/>
    <n v="39884"/>
    <s v="Yes"/>
    <n v="8"/>
    <s v="Excellent"/>
    <s v="Arjun"/>
    <s v="IT"/>
    <s v="Wfh"/>
    <n v="1.25"/>
    <s v="OK"/>
  </r>
  <r>
    <s v="E027"/>
    <s v="Arjun"/>
    <x v="0"/>
    <s v="Recruiter"/>
    <s v="Chennai"/>
    <d v="2025-02-13T00:00:00"/>
    <s v="February"/>
    <s v="Present"/>
    <n v="8"/>
    <n v="1"/>
    <n v="13"/>
    <n v="10"/>
    <n v="18"/>
    <n v="0.72222222222222221"/>
    <n v="31510"/>
    <s v="No"/>
    <n v="10"/>
    <s v="Excellent"/>
    <s v="Arjun"/>
    <s v="IT"/>
    <s v="Present"/>
    <n v="0.72222222222222221"/>
    <s v="OK"/>
  </r>
  <r>
    <s v="E028"/>
    <s v="Varun"/>
    <x v="0"/>
    <s v="Executive"/>
    <s v="Chennai"/>
    <d v="2025-02-14T00:00:00"/>
    <s v="February"/>
    <s v="WFH"/>
    <n v="8"/>
    <n v="0"/>
    <n v="10"/>
    <n v="9"/>
    <n v="19"/>
    <n v="0.52631578947368418"/>
    <n v="28690"/>
    <s v="No"/>
    <n v="9"/>
    <s v="Excellent"/>
    <s v="Varun"/>
    <s v="IT"/>
    <s v="Wfh"/>
    <n v="0.52631578947368418"/>
    <s v="OK"/>
  </r>
  <r>
    <s v="E029"/>
    <s v="Asha"/>
    <x v="0"/>
    <s v="Recruiter"/>
    <s v="Hyderabad"/>
    <d v="2025-02-15T00:00:00"/>
    <s v="February"/>
    <s v="Leave"/>
    <n v="0"/>
    <n v="0"/>
    <n v="0"/>
    <n v="8"/>
    <n v="12"/>
    <n v="0"/>
    <n v="46416"/>
    <s v="No"/>
    <n v="8"/>
    <s v="Excellent"/>
    <s v="Asha"/>
    <s v="IT"/>
    <s v="Leave"/>
    <n v="0"/>
    <s v="OK"/>
  </r>
  <r>
    <s v="E030"/>
    <s v="Asha"/>
    <x v="3"/>
    <s v="Developer"/>
    <s v="Chennai"/>
    <d v="2025-02-16T00:00:00"/>
    <s v="February"/>
    <s v="WFH"/>
    <n v="8"/>
    <n v="0"/>
    <n v="20"/>
    <n v="5"/>
    <n v="19"/>
    <n v="1.0526315789473684"/>
    <n v="49245"/>
    <s v="Yes"/>
    <n v="5"/>
    <s v="Good"/>
    <s v="Asha"/>
    <s v="HR"/>
    <s v="Wfh"/>
    <n v="1.0526315789473684"/>
    <s v="OK"/>
  </r>
  <r>
    <s v="E031"/>
    <s v="Rohit"/>
    <x v="1"/>
    <s v="Manager"/>
    <s v="Mumbai"/>
    <d v="2025-02-17T00:00:00"/>
    <s v="February"/>
    <s v="WFH"/>
    <n v="8"/>
    <n v="0"/>
    <n v="12"/>
    <n v="7"/>
    <n v="10"/>
    <n v="1.2"/>
    <n v="42818"/>
    <s v="Yes"/>
    <n v="7"/>
    <s v="Good"/>
    <s v="Rohit"/>
    <s v="FINANCE"/>
    <s v="Wfh"/>
    <n v="1.2"/>
    <s v="OK"/>
  </r>
  <r>
    <s v="E032"/>
    <s v="Pooja"/>
    <x v="0"/>
    <s v="Tester"/>
    <s v="Mumbai"/>
    <d v="2025-02-18T00:00:00"/>
    <s v="February"/>
    <s v="Leave"/>
    <n v="0"/>
    <n v="0"/>
    <n v="0"/>
    <n v="5"/>
    <n v="13"/>
    <n v="0"/>
    <n v="43005"/>
    <s v="No"/>
    <n v="5"/>
    <s v="Average"/>
    <s v="Pooja"/>
    <s v="IT"/>
    <s v="Leave"/>
    <n v="0"/>
    <s v="OK"/>
  </r>
  <r>
    <s v="E033"/>
    <s v="Kiran"/>
    <x v="3"/>
    <s v="Executive"/>
    <s v="Hyderabad"/>
    <d v="2025-02-19T00:00:00"/>
    <s v="February"/>
    <s v="Present"/>
    <n v="8"/>
    <n v="1"/>
    <n v="15"/>
    <n v="6"/>
    <n v="20"/>
    <n v="0.75"/>
    <n v="48315"/>
    <s v="No"/>
    <n v="6"/>
    <s v="Good"/>
    <s v="Kiran"/>
    <s v="HR"/>
    <s v="Present"/>
    <n v="0.75"/>
    <s v="OK"/>
  </r>
  <r>
    <s v="E034"/>
    <s v="Priya"/>
    <x v="1"/>
    <s v="Executive"/>
    <s v="Hyderabad"/>
    <d v="2025-02-20T00:00:00"/>
    <s v="February"/>
    <s v="Present"/>
    <n v="8"/>
    <n v="3"/>
    <n v="10"/>
    <n v="4"/>
    <n v="13"/>
    <n v="0.76923076923076927"/>
    <n v="34132"/>
    <s v="No"/>
    <n v="4"/>
    <s v="Average"/>
    <s v="Priya"/>
    <s v="FINANCE"/>
    <s v="Present"/>
    <n v="0.76923076923076927"/>
    <s v="OK"/>
  </r>
  <r>
    <s v="E035"/>
    <s v="Sneha"/>
    <x v="0"/>
    <s v="Executive"/>
    <s v="Mumbai"/>
    <d v="2025-02-21T00:00:00"/>
    <s v="February"/>
    <s v="Leave"/>
    <n v="0"/>
    <n v="0"/>
    <n v="0"/>
    <n v="6"/>
    <n v="15"/>
    <n v="0"/>
    <n v="27634"/>
    <s v="No"/>
    <n v="6"/>
    <s v="Good"/>
    <s v="Sneha"/>
    <s v="IT"/>
    <s v="Leave"/>
    <n v="0"/>
    <s v="OK"/>
  </r>
  <r>
    <s v="E036"/>
    <s v="Varun"/>
    <x v="2"/>
    <s v="Analyst"/>
    <s v="Bangalore"/>
    <d v="2025-02-22T00:00:00"/>
    <s v="February"/>
    <s v="Leave"/>
    <n v="0"/>
    <n v="0"/>
    <n v="0"/>
    <n v="7"/>
    <n v="16"/>
    <n v="0"/>
    <n v="28546"/>
    <s v="No"/>
    <n v="7"/>
    <s v="Good"/>
    <s v="Varun"/>
    <s v="SALES"/>
    <s v="Leave"/>
    <n v="0"/>
    <s v="OK"/>
  </r>
  <r>
    <s v="E037"/>
    <s v="Pooja"/>
    <x v="1"/>
    <s v="Tester"/>
    <s v="Mumbai"/>
    <d v="2025-02-23T00:00:00"/>
    <s v="February"/>
    <s v="WFH"/>
    <n v="8"/>
    <n v="0"/>
    <n v="10"/>
    <n v="4"/>
    <n v="13"/>
    <n v="0.76923076923076927"/>
    <n v="27053"/>
    <s v="No"/>
    <n v="4"/>
    <s v="Average"/>
    <s v="Pooja"/>
    <s v="FINANCE"/>
    <s v="Wfh"/>
    <n v="0.76923076923076927"/>
    <s v="OK"/>
  </r>
  <r>
    <s v="E038"/>
    <s v="Ravi"/>
    <x v="3"/>
    <s v="Executive"/>
    <s v="Hyderabad"/>
    <d v="2025-02-24T00:00:00"/>
    <s v="February"/>
    <s v="WFH"/>
    <n v="8"/>
    <n v="0"/>
    <n v="5"/>
    <n v="3"/>
    <n v="13"/>
    <n v="0.38461538461538464"/>
    <n v="40611"/>
    <s v="No"/>
    <n v="3"/>
    <s v="Poor"/>
    <s v="Ravi"/>
    <s v="HR"/>
    <s v="Wfh"/>
    <n v="0.38461538461538464"/>
    <s v="OK"/>
  </r>
  <r>
    <s v="E039"/>
    <s v="Ravi"/>
    <x v="0"/>
    <s v="Analyst"/>
    <s v="Mumbai"/>
    <d v="2025-02-25T00:00:00"/>
    <s v="February"/>
    <s v="Present"/>
    <n v="8"/>
    <n v="3"/>
    <n v="18"/>
    <n v="3"/>
    <n v="19"/>
    <n v="0.94736842105263153"/>
    <n v="28977"/>
    <s v="Yes"/>
    <n v="3"/>
    <s v="Poor"/>
    <s v="Ravi"/>
    <s v="IT"/>
    <s v="Present"/>
    <n v="0.94736842105263153"/>
    <s v="OK"/>
  </r>
  <r>
    <s v="E040"/>
    <s v="Sneha"/>
    <x v="2"/>
    <s v="Manager"/>
    <s v="Bangalore"/>
    <d v="2025-02-26T00:00:00"/>
    <s v="February"/>
    <s v="WFH"/>
    <n v="8"/>
    <n v="0"/>
    <n v="7"/>
    <n v="7"/>
    <n v="10"/>
    <n v="0.7"/>
    <n v="34392"/>
    <s v="No"/>
    <n v="7"/>
    <s v="Good"/>
    <s v="Sneha"/>
    <s v="SALES"/>
    <s v="Wfh"/>
    <n v="0.7"/>
    <s v="OK"/>
  </r>
  <r>
    <s v="E041"/>
    <s v="Priya"/>
    <x v="3"/>
    <s v="Manager"/>
    <s v="Chennai"/>
    <d v="2025-02-27T00:00:00"/>
    <s v="February"/>
    <s v="WFH"/>
    <n v="8"/>
    <n v="0"/>
    <n v="13"/>
    <n v="9"/>
    <n v="19"/>
    <n v="0.68421052631578949"/>
    <n v="44371"/>
    <s v="No"/>
    <n v="9"/>
    <s v="Excellent"/>
    <s v="Priya"/>
    <s v="HR"/>
    <s v="Wfh"/>
    <n v="0.68421052631578949"/>
    <s v="OK"/>
  </r>
  <r>
    <s v="E042"/>
    <s v="Sneha"/>
    <x v="3"/>
    <s v="Tester"/>
    <s v="Hyderabad"/>
    <d v="2025-02-28T00:00:00"/>
    <s v="February"/>
    <s v="Leave"/>
    <n v="0"/>
    <n v="0"/>
    <n v="0"/>
    <n v="7"/>
    <n v="12"/>
    <n v="0"/>
    <n v="28475"/>
    <s v="No"/>
    <n v="7"/>
    <s v="Good"/>
    <s v="Sneha"/>
    <s v="HR"/>
    <s v="Leave"/>
    <n v="0"/>
    <s v="OK"/>
  </r>
  <r>
    <s v="E043"/>
    <s v="Arjun"/>
    <x v="0"/>
    <s v="Tester"/>
    <s v="Hyderabad"/>
    <d v="2025-03-01T00:00:00"/>
    <s v="March"/>
    <s v="Absent"/>
    <n v="0"/>
    <n v="0"/>
    <n v="0"/>
    <n v="4"/>
    <n v="12"/>
    <n v="0"/>
    <n v="42612"/>
    <s v="No"/>
    <n v="4"/>
    <s v="Average"/>
    <s v="Arjun"/>
    <s v="IT"/>
    <s v="Absent"/>
    <n v="0"/>
    <s v="OK"/>
  </r>
  <r>
    <s v="E044"/>
    <s v="Varun"/>
    <x v="3"/>
    <s v="Manager"/>
    <s v="Mumbai"/>
    <d v="2025-03-02T00:00:00"/>
    <s v="March"/>
    <s v="Leave"/>
    <n v="0"/>
    <n v="0"/>
    <n v="0"/>
    <n v="3"/>
    <n v="15"/>
    <n v="0"/>
    <n v="39865"/>
    <s v="No"/>
    <n v="3"/>
    <s v="Poor"/>
    <s v="Varun"/>
    <s v="HR"/>
    <s v="Leave"/>
    <n v="0"/>
    <s v="OK"/>
  </r>
  <r>
    <s v="E045"/>
    <s v="Meena"/>
    <x v="1"/>
    <s v="Recruiter"/>
    <s v="Chennai"/>
    <d v="2025-03-03T00:00:00"/>
    <s v="March"/>
    <s v="Leave"/>
    <n v="0"/>
    <n v="0"/>
    <n v="0"/>
    <n v="5"/>
    <n v="18"/>
    <n v="0"/>
    <n v="49289"/>
    <s v="No"/>
    <n v="5"/>
    <s v="Good"/>
    <s v="Meena"/>
    <s v="FINANCE"/>
    <s v="Leave"/>
    <n v="0"/>
    <s v="OK"/>
  </r>
  <r>
    <s v="E046"/>
    <s v="Rohit"/>
    <x v="1"/>
    <s v="Recruiter"/>
    <s v="Hyderabad"/>
    <d v="2025-03-04T00:00:00"/>
    <s v="March"/>
    <s v="Absent"/>
    <n v="0"/>
    <n v="0"/>
    <n v="0"/>
    <n v="8"/>
    <n v="19"/>
    <n v="0"/>
    <n v="47597"/>
    <s v="No"/>
    <n v="8"/>
    <s v="Excellent"/>
    <s v="Rohit"/>
    <s v="FINANCE"/>
    <s v="Absent"/>
    <n v="0"/>
    <s v="OK"/>
  </r>
  <r>
    <s v="E047"/>
    <s v="Rohit"/>
    <x v="3"/>
    <s v="Manager"/>
    <s v="Mumbai"/>
    <d v="2025-03-05T00:00:00"/>
    <s v="March"/>
    <s v="Present"/>
    <n v="8"/>
    <n v="3"/>
    <n v="11"/>
    <n v="8"/>
    <n v="20"/>
    <n v="0.55000000000000004"/>
    <n v="37648"/>
    <s v="No"/>
    <n v="8"/>
    <s v="Excellent"/>
    <s v="Rohit"/>
    <s v="HR"/>
    <s v="Present"/>
    <n v="0.55000000000000004"/>
    <s v="OK"/>
  </r>
  <r>
    <s v="E048"/>
    <s v="Meena"/>
    <x v="1"/>
    <s v="Developer"/>
    <s v="Chennai"/>
    <d v="2025-03-06T00:00:00"/>
    <s v="March"/>
    <s v="Leave"/>
    <n v="0"/>
    <n v="0"/>
    <n v="0"/>
    <n v="6"/>
    <n v="17"/>
    <n v="0"/>
    <n v="38780"/>
    <s v="No"/>
    <n v="6"/>
    <s v="Average"/>
    <s v="Meena"/>
    <s v="FINANCE"/>
    <s v="Leave"/>
    <n v="0"/>
    <s v="OK"/>
  </r>
  <r>
    <s v="E049"/>
    <s v="Meena"/>
    <x v="2"/>
    <s v="Developer"/>
    <s v="Bangalore"/>
    <d v="2025-03-07T00:00:00"/>
    <s v="March"/>
    <s v="Present"/>
    <n v="8"/>
    <n v="0"/>
    <n v="18"/>
    <n v="5"/>
    <n v="17"/>
    <n v="1.0588235294117647"/>
    <n v="34990"/>
    <s v="Yes"/>
    <n v="5"/>
    <s v="Average"/>
    <s v="Meena"/>
    <s v="SALES"/>
    <s v="Present"/>
    <n v="1.0588235294117647"/>
    <s v="OK"/>
  </r>
  <r>
    <s v="E050"/>
    <s v="Pooja"/>
    <x v="0"/>
    <s v="Manager"/>
    <s v="Chennai"/>
    <d v="2025-03-08T00:00:00"/>
    <s v="March"/>
    <s v="Leave"/>
    <n v="0"/>
    <n v="0"/>
    <n v="0"/>
    <n v="3"/>
    <n v="19"/>
    <n v="0"/>
    <n v="45187"/>
    <s v="No"/>
    <n v="3"/>
    <s v="Poor"/>
    <s v="Pooja"/>
    <s v="IT"/>
    <s v="Leave"/>
    <n v="0"/>
    <s v="OK"/>
  </r>
  <r>
    <s v="E051"/>
    <s v="Kiran"/>
    <x v="2"/>
    <s v="Recruiter"/>
    <s v="Mumbai"/>
    <d v="2025-03-09T00:00:00"/>
    <s v="March"/>
    <s v="Leave"/>
    <n v="0"/>
    <n v="0"/>
    <n v="0"/>
    <n v="6"/>
    <n v="18"/>
    <n v="0"/>
    <n v="28002"/>
    <s v="No"/>
    <n v="6"/>
    <s v="Average"/>
    <s v="Kiran"/>
    <s v="SALES"/>
    <s v="Leave"/>
    <n v="0"/>
    <s v="OK"/>
  </r>
  <r>
    <s v="E052"/>
    <s v="Ravi"/>
    <x v="1"/>
    <s v="Analyst"/>
    <s v="Bangalore"/>
    <d v="2025-03-10T00:00:00"/>
    <s v="March"/>
    <s v="Leave"/>
    <n v="0"/>
    <n v="0"/>
    <n v="0"/>
    <n v="6"/>
    <n v="19"/>
    <n v="0"/>
    <n v="29635"/>
    <s v="No"/>
    <n v="6"/>
    <s v="Average"/>
    <s v="Ravi"/>
    <s v="FINANCE"/>
    <s v="Leave"/>
    <n v="0"/>
    <s v="OK"/>
  </r>
  <r>
    <s v="E053"/>
    <s v="Pooja"/>
    <x v="1"/>
    <s v="Manager"/>
    <s v="Hyderabad"/>
    <d v="2025-03-11T00:00:00"/>
    <s v="March"/>
    <s v="Present"/>
    <n v="8"/>
    <n v="2"/>
    <n v="8"/>
    <n v="8"/>
    <n v="11"/>
    <n v="0.72727272727272729"/>
    <n v="25256"/>
    <s v="No"/>
    <n v="8"/>
    <s v="Excellent"/>
    <s v="Pooja"/>
    <s v="FINANCE"/>
    <s v="Present"/>
    <n v="0.72727272727272729"/>
    <s v="OK"/>
  </r>
  <r>
    <s v="E054"/>
    <s v="Rohit"/>
    <x v="2"/>
    <s v="Tester"/>
    <s v="Bangalore"/>
    <d v="2025-03-12T00:00:00"/>
    <s v="March"/>
    <s v="WFH"/>
    <n v="8"/>
    <n v="0"/>
    <n v="20"/>
    <n v="5"/>
    <n v="18"/>
    <n v="1.1111111111111112"/>
    <n v="42732"/>
    <s v="Yes"/>
    <n v="5"/>
    <s v="Good"/>
    <s v="Rohit"/>
    <s v="SALES"/>
    <s v="Wfh"/>
    <n v="1.1111111111111112"/>
    <s v="OK"/>
  </r>
  <r>
    <s v="E055"/>
    <s v="Varun"/>
    <x v="3"/>
    <s v="Executive"/>
    <s v="Chennai"/>
    <d v="2025-03-13T00:00:00"/>
    <s v="March"/>
    <s v="Leave"/>
    <n v="0"/>
    <n v="0"/>
    <n v="0"/>
    <n v="8"/>
    <n v="16"/>
    <n v="0"/>
    <n v="45019"/>
    <s v="No"/>
    <n v="8"/>
    <s v="Excellent"/>
    <s v="Varun"/>
    <s v="HR"/>
    <s v="Leave"/>
    <n v="0"/>
    <s v="OK"/>
  </r>
  <r>
    <s v="E056"/>
    <s v="Rohit"/>
    <x v="0"/>
    <s v="Developer"/>
    <s v="Mumbai"/>
    <d v="2025-03-14T00:00:00"/>
    <s v="March"/>
    <s v="WFH"/>
    <n v="8"/>
    <n v="0"/>
    <n v="14"/>
    <n v="4"/>
    <n v="17"/>
    <n v="0.82352941176470584"/>
    <n v="45171"/>
    <s v="No"/>
    <n v="4"/>
    <s v="Average"/>
    <s v="Rohit"/>
    <s v="IT"/>
    <s v="Wfh"/>
    <n v="0.82352941176470584"/>
    <s v="OK"/>
  </r>
  <r>
    <s v="E057"/>
    <s v="Kiran"/>
    <x v="3"/>
    <s v="Recruiter"/>
    <s v="Chennai"/>
    <d v="2025-03-15T00:00:00"/>
    <s v="March"/>
    <s v="WFH"/>
    <n v="8"/>
    <n v="0"/>
    <n v="13"/>
    <n v="10"/>
    <n v="10"/>
    <n v="1.3"/>
    <n v="45269"/>
    <s v="Yes"/>
    <n v="10"/>
    <s v="Excellent"/>
    <s v="Kiran"/>
    <s v="HR"/>
    <s v="Wfh"/>
    <n v="1.3"/>
    <s v="OK"/>
  </r>
  <r>
    <s v="E058"/>
    <s v="Ravi"/>
    <x v="2"/>
    <s v="Analyst"/>
    <s v="Chennai"/>
    <d v="2025-03-16T00:00:00"/>
    <s v="March"/>
    <s v="Leave"/>
    <n v="0"/>
    <n v="0"/>
    <n v="0"/>
    <n v="7"/>
    <n v="17"/>
    <n v="0"/>
    <n v="34038"/>
    <s v="No"/>
    <n v="7"/>
    <s v="Good"/>
    <s v="Ravi"/>
    <s v="SALES"/>
    <s v="Leave"/>
    <n v="0"/>
    <s v="OK"/>
  </r>
  <r>
    <s v="E059"/>
    <s v="Kiran"/>
    <x v="0"/>
    <s v="Analyst"/>
    <s v="Hyderabad"/>
    <d v="2025-03-17T00:00:00"/>
    <s v="March"/>
    <s v="WFH"/>
    <n v="8"/>
    <n v="0"/>
    <n v="8"/>
    <n v="10"/>
    <n v="17"/>
    <n v="0.47058823529411764"/>
    <n v="25550"/>
    <s v="No"/>
    <n v="10"/>
    <s v="Excellent"/>
    <s v="Kiran"/>
    <s v="IT"/>
    <s v="Wfh"/>
    <n v="0.47058823529411764"/>
    <s v="OK"/>
  </r>
  <r>
    <s v="E060"/>
    <s v="Priya"/>
    <x v="3"/>
    <s v="Developer"/>
    <s v="Hyderabad"/>
    <d v="2025-03-18T00:00:00"/>
    <s v="March"/>
    <s v="Absent"/>
    <n v="0"/>
    <n v="0"/>
    <n v="0"/>
    <n v="10"/>
    <n v="17"/>
    <n v="0"/>
    <n v="46498"/>
    <s v="No"/>
    <n v="10"/>
    <s v="Excellent"/>
    <s v="Priya"/>
    <s v="HR"/>
    <s v="Absent"/>
    <n v="0"/>
    <s v="OK"/>
  </r>
  <r>
    <s v="E061"/>
    <s v="Sneha"/>
    <x v="3"/>
    <s v="Tester"/>
    <s v="Mumbai"/>
    <d v="2025-03-19T00:00:00"/>
    <s v="March"/>
    <s v="Leave"/>
    <n v="0"/>
    <n v="0"/>
    <n v="0"/>
    <n v="9"/>
    <n v="16"/>
    <n v="0"/>
    <n v="39500"/>
    <s v="No"/>
    <n v="9"/>
    <s v="Excellent"/>
    <s v="Sneha"/>
    <s v="HR"/>
    <s v="Leave"/>
    <n v="0"/>
    <s v="OK"/>
  </r>
  <r>
    <s v="E062"/>
    <s v="Kiran"/>
    <x v="0"/>
    <s v="Executive"/>
    <s v="Hyderabad"/>
    <d v="2025-03-20T00:00:00"/>
    <s v="March"/>
    <s v="Present"/>
    <n v="8"/>
    <n v="0"/>
    <n v="16"/>
    <n v="7"/>
    <n v="13"/>
    <n v="1.2307692307692308"/>
    <n v="37246"/>
    <s v="Yes"/>
    <n v="7"/>
    <s v="Good"/>
    <s v="Kiran"/>
    <s v="IT"/>
    <s v="Present"/>
    <n v="1.2307692307692308"/>
    <s v="OK"/>
  </r>
  <r>
    <s v="E063"/>
    <s v="Rohit"/>
    <x v="3"/>
    <s v="Manager"/>
    <s v="Bangalore"/>
    <d v="2025-03-21T00:00:00"/>
    <s v="March"/>
    <s v="Present"/>
    <n v="8"/>
    <n v="2"/>
    <n v="18"/>
    <n v="9"/>
    <n v="11"/>
    <n v="1.6363636363636365"/>
    <n v="31724"/>
    <s v="Yes"/>
    <n v="9"/>
    <s v="Excellent"/>
    <s v="Rohit"/>
    <s v="HR"/>
    <s v="Present"/>
    <n v="1.6363636363636365"/>
    <s v="OK"/>
  </r>
  <r>
    <s v="E064"/>
    <s v="Varun"/>
    <x v="1"/>
    <s v="Tester"/>
    <s v="Bangalore"/>
    <d v="2025-03-22T00:00:00"/>
    <s v="March"/>
    <s v="Absent"/>
    <n v="0"/>
    <n v="0"/>
    <n v="0"/>
    <n v="7"/>
    <n v="13"/>
    <n v="0"/>
    <n v="44485"/>
    <s v="No"/>
    <n v="7"/>
    <s v="Good"/>
    <s v="Varun"/>
    <s v="FINANCE"/>
    <s v="Absent"/>
    <n v="0"/>
    <s v="OK"/>
  </r>
  <r>
    <s v="E065"/>
    <s v="Varun"/>
    <x v="0"/>
    <s v="Developer"/>
    <s v="Hyderabad"/>
    <d v="2025-03-23T00:00:00"/>
    <s v="March"/>
    <s v="Absent"/>
    <n v="0"/>
    <n v="0"/>
    <n v="0"/>
    <n v="8"/>
    <n v="20"/>
    <n v="0"/>
    <n v="25102"/>
    <s v="No"/>
    <n v="8"/>
    <s v="Excellent"/>
    <s v="Varun"/>
    <s v="IT"/>
    <s v="Absent"/>
    <n v="0"/>
    <s v="OK"/>
  </r>
  <r>
    <s v="E066"/>
    <s v="Kiran"/>
    <x v="0"/>
    <s v="Manager"/>
    <s v="Bangalore"/>
    <d v="2025-03-24T00:00:00"/>
    <s v="March"/>
    <s v="Present"/>
    <n v="8"/>
    <n v="1"/>
    <n v="7"/>
    <n v="6"/>
    <n v="10"/>
    <n v="0.7"/>
    <n v="36345"/>
    <s v="No"/>
    <n v="6"/>
    <s v="Average"/>
    <s v="Kiran"/>
    <s v="IT"/>
    <s v="Present"/>
    <n v="0.7"/>
    <s v="OK"/>
  </r>
  <r>
    <s v="E067"/>
    <s v="Priya"/>
    <x v="0"/>
    <s v="Tester"/>
    <s v="Mumbai"/>
    <d v="2025-03-25T00:00:00"/>
    <s v="March"/>
    <s v="Present"/>
    <n v="8"/>
    <n v="1"/>
    <n v="15"/>
    <n v="8"/>
    <n v="20"/>
    <n v="0.75"/>
    <n v="34455"/>
    <s v="No"/>
    <n v="8"/>
    <s v="Excellent"/>
    <s v="Priya"/>
    <s v="IT"/>
    <s v="Present"/>
    <n v="0.75"/>
    <s v="OK"/>
  </r>
  <r>
    <s v="E068"/>
    <s v="Meena"/>
    <x v="2"/>
    <s v="Developer"/>
    <s v="Bangalore"/>
    <d v="2025-03-26T00:00:00"/>
    <s v="March"/>
    <s v="WFH"/>
    <n v="8"/>
    <n v="0"/>
    <n v="14"/>
    <n v="7"/>
    <n v="18"/>
    <n v="0.77777777777777779"/>
    <n v="39959"/>
    <s v="No"/>
    <n v="7"/>
    <s v="Good"/>
    <s v="Meena"/>
    <s v="SALES"/>
    <s v="Wfh"/>
    <n v="0.77777777777777779"/>
    <s v="OK"/>
  </r>
  <r>
    <s v="E069"/>
    <s v="Varun"/>
    <x v="1"/>
    <s v="Manager"/>
    <s v="Bangalore"/>
    <d v="2025-03-27T00:00:00"/>
    <s v="March"/>
    <s v="WFH"/>
    <n v="8"/>
    <n v="0"/>
    <n v="8"/>
    <n v="8"/>
    <n v="13"/>
    <n v="0.61538461538461542"/>
    <n v="39372"/>
    <s v="No"/>
    <n v="8"/>
    <s v="Excellent"/>
    <s v="Varun"/>
    <s v="FINANCE"/>
    <s v="Wfh"/>
    <n v="0.61538461538461542"/>
    <s v="OK"/>
  </r>
  <r>
    <s v="E070"/>
    <s v="Pooja"/>
    <x v="2"/>
    <s v="Developer"/>
    <s v="Hyderabad"/>
    <d v="2025-03-28T00:00:00"/>
    <s v="March"/>
    <s v="Present"/>
    <n v="8"/>
    <n v="0"/>
    <n v="18"/>
    <n v="4"/>
    <n v="18"/>
    <n v="1"/>
    <n v="42577"/>
    <s v="Yes"/>
    <n v="4"/>
    <s v="Average"/>
    <s v="Pooja"/>
    <s v="SALES"/>
    <s v="Present"/>
    <n v="1"/>
    <s v="OK"/>
  </r>
  <r>
    <s v="E071"/>
    <s v="Meena"/>
    <x v="3"/>
    <s v="Recruiter"/>
    <s v="Chennai"/>
    <d v="2025-03-29T00:00:00"/>
    <s v="March"/>
    <s v="Leave"/>
    <n v="0"/>
    <n v="0"/>
    <n v="0"/>
    <n v="7"/>
    <n v="12"/>
    <n v="0"/>
    <n v="40587"/>
    <s v="No"/>
    <n v="7"/>
    <s v="Average"/>
    <s v="Meena"/>
    <s v="HR"/>
    <s v="Leave"/>
    <n v="0"/>
    <s v="OK"/>
  </r>
  <r>
    <s v="E072"/>
    <s v="Pooja"/>
    <x v="1"/>
    <s v="Developer"/>
    <s v="Mumbai"/>
    <d v="2025-03-30T00:00:00"/>
    <s v="March"/>
    <s v="Present"/>
    <n v="8"/>
    <n v="1"/>
    <n v="5"/>
    <n v="8"/>
    <n v="20"/>
    <n v="0.25"/>
    <n v="43827"/>
    <s v="No"/>
    <n v="8"/>
    <s v="Excellent"/>
    <s v="Pooja"/>
    <s v="FINANCE"/>
    <s v="Present"/>
    <n v="0.25"/>
    <s v="OK"/>
  </r>
  <r>
    <s v="E073"/>
    <s v="Varun"/>
    <x v="2"/>
    <s v="Executive"/>
    <s v="Chennai"/>
    <d v="2025-03-31T00:00:00"/>
    <s v="March"/>
    <s v="Absent"/>
    <n v="0"/>
    <n v="0"/>
    <n v="0"/>
    <n v="5"/>
    <n v="13"/>
    <n v="0"/>
    <n v="45371"/>
    <s v="No"/>
    <n v="5"/>
    <s v="Good"/>
    <s v="Varun"/>
    <s v="SALES"/>
    <s v="Absent"/>
    <n v="0"/>
    <s v="OK"/>
  </r>
  <r>
    <s v="E074"/>
    <s v="Varun"/>
    <x v="3"/>
    <s v="Recruiter"/>
    <s v="Hyderabad"/>
    <d v="2025-04-01T00:00:00"/>
    <s v="April"/>
    <s v="Present"/>
    <n v="8"/>
    <n v="1"/>
    <n v="8"/>
    <n v="7"/>
    <n v="12"/>
    <n v="0.66666666666666663"/>
    <n v="45440"/>
    <s v="No"/>
    <n v="7"/>
    <s v="Good"/>
    <s v="Varun"/>
    <s v="HR"/>
    <s v="Present"/>
    <n v="0.66666666666666663"/>
    <s v="OK"/>
  </r>
  <r>
    <s v="E075"/>
    <s v="Kiran"/>
    <x v="0"/>
    <s v="Developer"/>
    <s v="Bangalore"/>
    <d v="2025-04-02T00:00:00"/>
    <s v="April"/>
    <s v="WFH"/>
    <n v="8"/>
    <n v="0"/>
    <n v="20"/>
    <n v="8"/>
    <n v="13"/>
    <n v="1.5384615384615385"/>
    <n v="41070"/>
    <s v="Yes"/>
    <n v="8"/>
    <s v="Excellent"/>
    <s v="Kiran"/>
    <s v="IT"/>
    <s v="Wfh"/>
    <n v="1.5384615384615385"/>
    <s v="OK"/>
  </r>
  <r>
    <s v="E076"/>
    <s v="Priya"/>
    <x v="0"/>
    <s v="Recruiter"/>
    <s v="Chennai"/>
    <d v="2025-04-03T00:00:00"/>
    <s v="April"/>
    <s v="Leave"/>
    <n v="0"/>
    <n v="0"/>
    <n v="0"/>
    <n v="6"/>
    <n v="10"/>
    <n v="0"/>
    <n v="31529"/>
    <s v="No"/>
    <n v="6"/>
    <s v="Good"/>
    <s v="Priya"/>
    <s v="IT"/>
    <s v="Leave"/>
    <n v="0"/>
    <s v="OK"/>
  </r>
  <r>
    <s v="E077"/>
    <s v="Meena"/>
    <x v="3"/>
    <s v="Developer"/>
    <s v="Chennai"/>
    <d v="2025-04-04T00:00:00"/>
    <s v="April"/>
    <s v="Present"/>
    <n v="8"/>
    <n v="2"/>
    <n v="18"/>
    <n v="3"/>
    <n v="10"/>
    <n v="1.8"/>
    <n v="40503"/>
    <s v="Yes"/>
    <n v="3"/>
    <s v="Poor"/>
    <s v="Meena"/>
    <s v="HR"/>
    <s v="Present"/>
    <n v="1.8"/>
    <s v="OK"/>
  </r>
  <r>
    <s v="E078"/>
    <s v="Sneha"/>
    <x v="3"/>
    <s v="Executive"/>
    <s v="Hyderabad"/>
    <d v="2025-04-05T00:00:00"/>
    <s v="April"/>
    <s v="Absent"/>
    <n v="0"/>
    <n v="0"/>
    <n v="0"/>
    <n v="7"/>
    <n v="16"/>
    <n v="0"/>
    <n v="25688"/>
    <s v="No"/>
    <n v="7"/>
    <s v="Good"/>
    <s v="Sneha"/>
    <s v="HR"/>
    <s v="Absent"/>
    <n v="0"/>
    <s v="OK"/>
  </r>
  <r>
    <s v="E079"/>
    <s v="Meena"/>
    <x v="3"/>
    <s v="Analyst"/>
    <s v="Hyderabad"/>
    <d v="2025-04-06T00:00:00"/>
    <s v="April"/>
    <s v="Absent"/>
    <n v="0"/>
    <n v="0"/>
    <n v="0"/>
    <n v="8"/>
    <n v="16"/>
    <n v="0"/>
    <n v="39505"/>
    <s v="No"/>
    <n v="8"/>
    <s v="Excellent"/>
    <s v="Meena"/>
    <s v="HR"/>
    <s v="Absent"/>
    <n v="0"/>
    <s v="OK"/>
  </r>
  <r>
    <s v="E080"/>
    <s v="Asha"/>
    <x v="2"/>
    <s v="Manager"/>
    <s v="Bangalore"/>
    <d v="2025-04-07T00:00:00"/>
    <s v="April"/>
    <s v="WFH"/>
    <n v="8"/>
    <n v="0"/>
    <n v="7"/>
    <n v="3"/>
    <n v="17"/>
    <n v="0.41176470588235292"/>
    <n v="47678"/>
    <s v="No"/>
    <n v="3"/>
    <s v="Poor"/>
    <s v="Asha"/>
    <s v="SALES"/>
    <s v="Wfh"/>
    <n v="0.41176470588235292"/>
    <s v="OK"/>
  </r>
  <r>
    <s v="E081"/>
    <s v="Ravi"/>
    <x v="1"/>
    <s v="Analyst"/>
    <s v="Hyderabad"/>
    <d v="2025-04-08T00:00:00"/>
    <s v="April"/>
    <s v="Absent"/>
    <n v="0"/>
    <n v="0"/>
    <n v="0"/>
    <n v="3"/>
    <n v="10"/>
    <n v="0"/>
    <n v="39491"/>
    <s v="No"/>
    <n v="3"/>
    <s v="Poor"/>
    <s v="Ravi"/>
    <s v="FINANCE"/>
    <s v="Absent"/>
    <n v="0"/>
    <s v="OK"/>
  </r>
  <r>
    <s v="E082"/>
    <s v="Ravi"/>
    <x v="1"/>
    <s v="Manager"/>
    <s v="Mumbai"/>
    <d v="2025-04-09T00:00:00"/>
    <s v="April"/>
    <s v="Present"/>
    <n v="8"/>
    <n v="1"/>
    <n v="10"/>
    <n v="5"/>
    <n v="19"/>
    <n v="0.52631578947368418"/>
    <n v="27300"/>
    <s v="No"/>
    <n v="5"/>
    <s v="Good"/>
    <s v="Ravi"/>
    <s v="FINANCE"/>
    <s v="Present"/>
    <n v="0.52631578947368418"/>
    <s v="OK"/>
  </r>
  <r>
    <s v="E083"/>
    <s v="Meena"/>
    <x v="3"/>
    <s v="Tester"/>
    <s v="Chennai"/>
    <d v="2025-04-10T00:00:00"/>
    <s v="April"/>
    <s v="Present"/>
    <n v="8"/>
    <n v="1"/>
    <n v="5"/>
    <n v="5"/>
    <n v="15"/>
    <n v="0.33333333333333331"/>
    <n v="46788"/>
    <s v="No"/>
    <n v="5"/>
    <s v="Good"/>
    <s v="Meena"/>
    <s v="HR"/>
    <s v="Present"/>
    <n v="0.33333333333333331"/>
    <s v="OK"/>
  </r>
  <r>
    <s v="E084"/>
    <s v="Priya"/>
    <x v="0"/>
    <s v="Developer"/>
    <s v="Mumbai"/>
    <d v="2025-04-11T00:00:00"/>
    <s v="April"/>
    <s v="Absent"/>
    <n v="0"/>
    <n v="0"/>
    <n v="0"/>
    <n v="4"/>
    <n v="10"/>
    <n v="0"/>
    <n v="42962"/>
    <s v="No"/>
    <n v="4"/>
    <s v="Average"/>
    <s v="Priya"/>
    <s v="IT"/>
    <s v="Absent"/>
    <n v="0"/>
    <s v="OK"/>
  </r>
  <r>
    <s v="E085"/>
    <s v="Kiran"/>
    <x v="1"/>
    <s v="Executive"/>
    <s v="Chennai"/>
    <d v="2025-04-12T00:00:00"/>
    <s v="April"/>
    <s v="Leave"/>
    <n v="0"/>
    <n v="0"/>
    <n v="0"/>
    <n v="7"/>
    <n v="20"/>
    <n v="0"/>
    <n v="27963"/>
    <s v="No"/>
    <n v="7"/>
    <s v="Good"/>
    <s v="Kiran"/>
    <s v="FINANCE"/>
    <s v="Leave"/>
    <n v="0"/>
    <s v="OK"/>
  </r>
  <r>
    <s v="E086"/>
    <s v="Asha"/>
    <x v="0"/>
    <s v="Manager"/>
    <s v="Mumbai"/>
    <d v="2025-04-13T00:00:00"/>
    <s v="April"/>
    <s v="Absent"/>
    <n v="0"/>
    <n v="0"/>
    <n v="0"/>
    <n v="6"/>
    <n v="14"/>
    <n v="0"/>
    <n v="38219"/>
    <s v="No"/>
    <n v="6"/>
    <s v="Average"/>
    <s v="Asha"/>
    <s v="IT"/>
    <s v="Absent"/>
    <n v="0"/>
    <s v="OK"/>
  </r>
  <r>
    <s v="E087"/>
    <s v="Asha"/>
    <x v="3"/>
    <s v="Manager"/>
    <s v="Hyderabad"/>
    <d v="2025-04-14T00:00:00"/>
    <s v="April"/>
    <s v="Absent"/>
    <n v="0"/>
    <n v="0"/>
    <n v="0"/>
    <n v="9"/>
    <n v="13"/>
    <n v="0"/>
    <n v="35459"/>
    <s v="No"/>
    <n v="9"/>
    <s v="Excellent"/>
    <s v="Asha"/>
    <s v="HR"/>
    <s v="Absent"/>
    <n v="0"/>
    <s v="OK"/>
  </r>
  <r>
    <s v="E088"/>
    <s v="Varun"/>
    <x v="2"/>
    <s v="Manager"/>
    <s v="Bangalore"/>
    <d v="2025-04-15T00:00:00"/>
    <s v="April"/>
    <s v="Absent"/>
    <n v="0"/>
    <n v="0"/>
    <n v="0"/>
    <n v="5"/>
    <n v="19"/>
    <n v="0"/>
    <n v="36433"/>
    <s v="No"/>
    <n v="5"/>
    <s v="Average"/>
    <s v="Varun"/>
    <s v="SALES"/>
    <s v="Absent"/>
    <n v="0"/>
    <s v="OK"/>
  </r>
  <r>
    <s v="E089"/>
    <s v="Rohit"/>
    <x v="0"/>
    <s v="Recruiter"/>
    <s v="Mumbai"/>
    <d v="2025-04-16T00:00:00"/>
    <s v="April"/>
    <s v="Absent"/>
    <n v="0"/>
    <n v="0"/>
    <n v="0"/>
    <n v="7"/>
    <n v="18"/>
    <n v="0"/>
    <n v="42097"/>
    <s v="No"/>
    <n v="7"/>
    <s v="Good"/>
    <s v="Rohit"/>
    <s v="IT"/>
    <s v="Absent"/>
    <n v="0"/>
    <s v="OK"/>
  </r>
  <r>
    <s v="E090"/>
    <s v="Arjun"/>
    <x v="0"/>
    <s v="Manager"/>
    <s v="Mumbai"/>
    <d v="2025-04-17T00:00:00"/>
    <s v="April"/>
    <s v="WFH"/>
    <n v="8"/>
    <n v="0"/>
    <n v="10"/>
    <n v="5"/>
    <n v="13"/>
    <n v="0.76923076923076927"/>
    <n v="42620"/>
    <s v="No"/>
    <n v="5"/>
    <s v="Good"/>
    <s v="Arjun"/>
    <s v="IT"/>
    <s v="Wfh"/>
    <n v="0.76923076923076927"/>
    <s v="OK"/>
  </r>
  <r>
    <s v="E091"/>
    <s v="Varun"/>
    <x v="3"/>
    <s v="Developer"/>
    <s v="Hyderabad"/>
    <d v="2025-04-18T00:00:00"/>
    <s v="April"/>
    <s v="Absent"/>
    <n v="0"/>
    <n v="0"/>
    <n v="0"/>
    <n v="6"/>
    <n v="15"/>
    <n v="0"/>
    <n v="30358"/>
    <s v="No"/>
    <n v="6"/>
    <s v="Good"/>
    <s v="Varun"/>
    <s v="HR"/>
    <s v="Absent"/>
    <n v="0"/>
    <s v="OK"/>
  </r>
  <r>
    <s v="E092"/>
    <s v="Meena"/>
    <x v="0"/>
    <s v="Executive"/>
    <s v="Bangalore"/>
    <d v="2025-04-19T00:00:00"/>
    <s v="April"/>
    <s v="Present"/>
    <n v="8"/>
    <n v="1"/>
    <n v="5"/>
    <n v="7"/>
    <n v="15"/>
    <n v="0.33333333333333331"/>
    <n v="47613"/>
    <s v="No"/>
    <n v="7"/>
    <s v="Good"/>
    <s v="Meena"/>
    <s v="IT"/>
    <s v="Present"/>
    <n v="0.33333333333333331"/>
    <s v="OK"/>
  </r>
  <r>
    <s v="E093"/>
    <s v="Sneha"/>
    <x v="3"/>
    <s v="Tester"/>
    <s v="Bangalore"/>
    <d v="2025-04-20T00:00:00"/>
    <s v="April"/>
    <s v="WFH"/>
    <n v="8"/>
    <n v="0"/>
    <n v="9"/>
    <n v="6"/>
    <n v="17"/>
    <n v="0.52941176470588236"/>
    <n v="35431"/>
    <s v="No"/>
    <n v="6"/>
    <s v="Good"/>
    <s v="Sneha"/>
    <s v="HR"/>
    <s v="Wfh"/>
    <n v="0.52941176470588236"/>
    <s v="OK"/>
  </r>
  <r>
    <s v="E094"/>
    <s v="Kiran"/>
    <x v="0"/>
    <s v="Executive"/>
    <s v="Mumbai"/>
    <d v="2025-04-21T00:00:00"/>
    <s v="April"/>
    <s v="WFH"/>
    <n v="8"/>
    <n v="0"/>
    <n v="15"/>
    <n v="6"/>
    <n v="17"/>
    <n v="0.88235294117647056"/>
    <n v="43386"/>
    <s v="No"/>
    <n v="6"/>
    <s v="Average"/>
    <s v="Kiran"/>
    <s v="IT"/>
    <s v="Wfh"/>
    <n v="0.88235294117647056"/>
    <s v="OK"/>
  </r>
  <r>
    <s v="E095"/>
    <s v="Asha"/>
    <x v="2"/>
    <s v="Tester"/>
    <s v="Chennai"/>
    <d v="2025-04-22T00:00:00"/>
    <s v="April"/>
    <s v="Present"/>
    <n v="8"/>
    <n v="3"/>
    <n v="20"/>
    <n v="5"/>
    <n v="11"/>
    <n v="1.8181818181818181"/>
    <n v="28820"/>
    <s v="Yes"/>
    <n v="5"/>
    <s v="Good"/>
    <s v="Asha"/>
    <s v="SALES"/>
    <s v="Present"/>
    <n v="1.8181818181818181"/>
    <s v="OK"/>
  </r>
  <r>
    <s v="E096"/>
    <s v="Kiran"/>
    <x v="2"/>
    <s v="Manager"/>
    <s v="Chennai"/>
    <d v="2025-04-23T00:00:00"/>
    <s v="April"/>
    <s v="Leave"/>
    <n v="0"/>
    <n v="0"/>
    <n v="0"/>
    <n v="7"/>
    <n v="10"/>
    <n v="0"/>
    <n v="26679"/>
    <s v="No"/>
    <n v="7"/>
    <s v="Good"/>
    <s v="Kiran"/>
    <s v="SALES"/>
    <s v="Leave"/>
    <n v="0"/>
    <s v="OK"/>
  </r>
  <r>
    <s v="E097"/>
    <s v="Ravi"/>
    <x v="3"/>
    <s v="Recruiter"/>
    <s v="Mumbai"/>
    <d v="2025-04-24T00:00:00"/>
    <s v="April"/>
    <s v="WFH"/>
    <n v="8"/>
    <n v="0"/>
    <n v="9"/>
    <n v="7"/>
    <n v="10"/>
    <n v="0.9"/>
    <n v="32438"/>
    <s v="Yes"/>
    <n v="7"/>
    <s v="Good"/>
    <s v="Ravi"/>
    <s v="HR"/>
    <s v="Wfh"/>
    <n v="0.9"/>
    <s v="OK"/>
  </r>
  <r>
    <s v="E098"/>
    <s v="Asha"/>
    <x v="3"/>
    <s v="Tester"/>
    <s v="Chennai"/>
    <d v="2025-04-25T00:00:00"/>
    <s v="April"/>
    <s v="Leave"/>
    <n v="0"/>
    <n v="0"/>
    <n v="0"/>
    <n v="7"/>
    <n v="14"/>
    <n v="0"/>
    <n v="26348"/>
    <s v="No"/>
    <n v="7"/>
    <s v="Poor"/>
    <s v="Asha"/>
    <s v="HR"/>
    <s v="Leave"/>
    <n v="0"/>
    <s v="OK"/>
  </r>
  <r>
    <s v="E099"/>
    <s v="Meena"/>
    <x v="0"/>
    <s v="Recruiter"/>
    <s v="Hyderabad"/>
    <d v="2025-04-26T00:00:00"/>
    <s v="April"/>
    <s v="Leave"/>
    <n v="0"/>
    <n v="0"/>
    <n v="0"/>
    <n v="10"/>
    <n v="13"/>
    <n v="0"/>
    <n v="40354"/>
    <s v="No"/>
    <n v="10"/>
    <s v="Excellent"/>
    <s v="Meena"/>
    <s v="IT"/>
    <s v="Leave"/>
    <n v="0"/>
    <s v="OK"/>
  </r>
  <r>
    <s v="E100"/>
    <s v="Sneha"/>
    <x v="0"/>
    <s v="Developer"/>
    <s v="Chennai"/>
    <d v="2025-04-27T00:00:00"/>
    <s v="April"/>
    <s v="Present"/>
    <n v="8"/>
    <n v="1"/>
    <n v="16"/>
    <n v="10"/>
    <n v="20"/>
    <n v="0.8"/>
    <n v="48904"/>
    <s v="No"/>
    <n v="10"/>
    <s v="Excellent"/>
    <s v="Sneha"/>
    <s v="IT"/>
    <s v="Present"/>
    <n v="0.8"/>
    <s v="O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x v="0"/>
    <x v="0"/>
    <x v="0"/>
    <x v="0"/>
    <x v="0"/>
    <x v="0"/>
    <x v="0"/>
    <n v="8"/>
    <n v="0"/>
    <n v="10"/>
    <n v="6"/>
    <n v="17"/>
    <n v="0.58823529411764708"/>
    <n v="29441"/>
    <s v="No"/>
    <n v="6"/>
    <s v="Good"/>
  </r>
  <r>
    <s v="E002"/>
    <x v="1"/>
    <x v="1"/>
    <x v="1"/>
    <x v="0"/>
    <x v="1"/>
    <x v="0"/>
    <x v="0"/>
    <n v="8"/>
    <n v="0"/>
    <n v="20"/>
    <n v="7"/>
    <n v="10"/>
    <n v="2"/>
    <n v="47125"/>
    <s v="Yes"/>
    <n v="7"/>
    <s v="Good"/>
  </r>
  <r>
    <s v="E003"/>
    <x v="2"/>
    <x v="2"/>
    <x v="0"/>
    <x v="1"/>
    <x v="2"/>
    <x v="0"/>
    <x v="1"/>
    <n v="8"/>
    <n v="1"/>
    <n v="19"/>
    <n v="9"/>
    <n v="18"/>
    <n v="1.0555555555555556"/>
    <n v="40946"/>
    <s v="Yes"/>
    <n v="9"/>
    <s v="Excellent"/>
  </r>
  <r>
    <s v="E004"/>
    <x v="3"/>
    <x v="1"/>
    <x v="1"/>
    <x v="1"/>
    <x v="3"/>
    <x v="0"/>
    <x v="1"/>
    <n v="8"/>
    <n v="3"/>
    <n v="16"/>
    <n v="10"/>
    <n v="12"/>
    <n v="1.3333333333333333"/>
    <n v="46961"/>
    <s v="Yes"/>
    <n v="10"/>
    <s v="Excellent"/>
  </r>
  <r>
    <s v="E005"/>
    <x v="4"/>
    <x v="3"/>
    <x v="1"/>
    <x v="0"/>
    <x v="4"/>
    <x v="0"/>
    <x v="2"/>
    <n v="0"/>
    <n v="0"/>
    <n v="0"/>
    <n v="9"/>
    <n v="18"/>
    <n v="0"/>
    <n v="43198"/>
    <s v="No"/>
    <n v="9"/>
    <s v="Excellent"/>
  </r>
  <r>
    <s v="E006"/>
    <x v="5"/>
    <x v="0"/>
    <x v="2"/>
    <x v="2"/>
    <x v="5"/>
    <x v="0"/>
    <x v="0"/>
    <n v="8"/>
    <n v="0"/>
    <n v="9"/>
    <n v="5"/>
    <n v="17"/>
    <n v="0.52941176470588236"/>
    <n v="37630"/>
    <s v="No"/>
    <n v="5"/>
    <s v="Average"/>
  </r>
  <r>
    <s v="E007"/>
    <x v="6"/>
    <x v="3"/>
    <x v="3"/>
    <x v="0"/>
    <x v="6"/>
    <x v="0"/>
    <x v="1"/>
    <n v="8"/>
    <n v="0"/>
    <n v="19"/>
    <n v="8"/>
    <n v="12"/>
    <n v="1.5833333333333333"/>
    <n v="34811"/>
    <s v="Yes"/>
    <n v="8"/>
    <s v="Excellent"/>
  </r>
  <r>
    <s v="E008"/>
    <x v="7"/>
    <x v="3"/>
    <x v="3"/>
    <x v="0"/>
    <x v="7"/>
    <x v="0"/>
    <x v="3"/>
    <n v="0"/>
    <n v="0"/>
    <n v="0"/>
    <n v="3"/>
    <n v="19"/>
    <n v="0"/>
    <n v="29906"/>
    <s v="No"/>
    <n v="3"/>
    <s v="Poor"/>
  </r>
  <r>
    <s v="E009"/>
    <x v="3"/>
    <x v="2"/>
    <x v="2"/>
    <x v="3"/>
    <x v="8"/>
    <x v="0"/>
    <x v="0"/>
    <n v="8"/>
    <n v="0"/>
    <n v="18"/>
    <n v="10"/>
    <n v="17"/>
    <n v="1.0588235294117647"/>
    <n v="31831"/>
    <s v="Yes"/>
    <n v="10"/>
    <s v="Excellent"/>
  </r>
  <r>
    <s v="E010"/>
    <x v="8"/>
    <x v="3"/>
    <x v="4"/>
    <x v="0"/>
    <x v="9"/>
    <x v="0"/>
    <x v="1"/>
    <n v="8"/>
    <n v="1"/>
    <n v="15"/>
    <n v="4"/>
    <n v="11"/>
    <n v="1.3636363636363635"/>
    <n v="36770"/>
    <s v="Yes"/>
    <n v="4"/>
    <s v="Average"/>
  </r>
  <r>
    <s v="E011"/>
    <x v="8"/>
    <x v="3"/>
    <x v="2"/>
    <x v="3"/>
    <x v="10"/>
    <x v="0"/>
    <x v="0"/>
    <n v="8"/>
    <n v="0"/>
    <n v="18"/>
    <n v="5"/>
    <n v="10"/>
    <n v="1.8"/>
    <n v="32412"/>
    <s v="Yes"/>
    <n v="5"/>
    <s v="Good"/>
  </r>
  <r>
    <s v="E012"/>
    <x v="7"/>
    <x v="2"/>
    <x v="4"/>
    <x v="2"/>
    <x v="11"/>
    <x v="0"/>
    <x v="2"/>
    <n v="0"/>
    <n v="0"/>
    <n v="0"/>
    <n v="8"/>
    <n v="12"/>
    <n v="0"/>
    <n v="42165"/>
    <s v="No"/>
    <n v="8"/>
    <s v="Excellent"/>
  </r>
  <r>
    <s v="E013"/>
    <x v="1"/>
    <x v="2"/>
    <x v="5"/>
    <x v="2"/>
    <x v="12"/>
    <x v="0"/>
    <x v="3"/>
    <n v="0"/>
    <n v="0"/>
    <n v="0"/>
    <n v="8"/>
    <n v="11"/>
    <n v="0"/>
    <n v="29872"/>
    <s v="No"/>
    <n v="8"/>
    <s v="Excellent"/>
  </r>
  <r>
    <s v="E014"/>
    <x v="2"/>
    <x v="3"/>
    <x v="2"/>
    <x v="1"/>
    <x v="13"/>
    <x v="0"/>
    <x v="1"/>
    <n v="8"/>
    <n v="1"/>
    <n v="20"/>
    <n v="6"/>
    <n v="17"/>
    <n v="1.1764705882352942"/>
    <n v="31911"/>
    <s v="Yes"/>
    <n v="6"/>
    <s v="Good"/>
  </r>
  <r>
    <s v="E015"/>
    <x v="4"/>
    <x v="2"/>
    <x v="0"/>
    <x v="1"/>
    <x v="14"/>
    <x v="1"/>
    <x v="0"/>
    <n v="8"/>
    <n v="0"/>
    <n v="13"/>
    <n v="9"/>
    <n v="13"/>
    <n v="1"/>
    <n v="45875"/>
    <s v="Yes"/>
    <n v="9"/>
    <s v="Excellent"/>
  </r>
  <r>
    <s v="E016"/>
    <x v="6"/>
    <x v="3"/>
    <x v="5"/>
    <x v="3"/>
    <x v="15"/>
    <x v="1"/>
    <x v="3"/>
    <n v="0"/>
    <n v="0"/>
    <n v="0"/>
    <n v="4"/>
    <n v="19"/>
    <n v="0"/>
    <n v="31629"/>
    <s v="No"/>
    <n v="4"/>
    <s v="Average"/>
  </r>
  <r>
    <s v="E017"/>
    <x v="0"/>
    <x v="3"/>
    <x v="3"/>
    <x v="3"/>
    <x v="16"/>
    <x v="1"/>
    <x v="3"/>
    <n v="0"/>
    <n v="0"/>
    <n v="0"/>
    <n v="6"/>
    <n v="15"/>
    <n v="0"/>
    <n v="49294"/>
    <s v="No"/>
    <n v="6"/>
    <s v="Good"/>
  </r>
  <r>
    <s v="E018"/>
    <x v="5"/>
    <x v="0"/>
    <x v="4"/>
    <x v="3"/>
    <x v="17"/>
    <x v="1"/>
    <x v="2"/>
    <n v="0"/>
    <n v="0"/>
    <n v="0"/>
    <n v="4"/>
    <n v="18"/>
    <n v="0"/>
    <n v="42866"/>
    <s v="No"/>
    <n v="4"/>
    <s v="Average"/>
  </r>
  <r>
    <s v="E019"/>
    <x v="6"/>
    <x v="3"/>
    <x v="5"/>
    <x v="1"/>
    <x v="18"/>
    <x v="1"/>
    <x v="0"/>
    <n v="8"/>
    <n v="0"/>
    <n v="17"/>
    <n v="6"/>
    <n v="10"/>
    <n v="1.7"/>
    <n v="42130"/>
    <s v="Yes"/>
    <n v="6"/>
    <s v="Good"/>
  </r>
  <r>
    <s v="E020"/>
    <x v="6"/>
    <x v="2"/>
    <x v="0"/>
    <x v="1"/>
    <x v="19"/>
    <x v="1"/>
    <x v="1"/>
    <n v="8"/>
    <n v="2"/>
    <n v="6"/>
    <n v="9"/>
    <n v="13"/>
    <n v="0.46153846153846156"/>
    <n v="33563"/>
    <s v="No"/>
    <n v="9"/>
    <s v="Excellent"/>
  </r>
  <r>
    <s v="E021"/>
    <x v="5"/>
    <x v="0"/>
    <x v="5"/>
    <x v="2"/>
    <x v="20"/>
    <x v="1"/>
    <x v="2"/>
    <n v="0"/>
    <n v="0"/>
    <n v="0"/>
    <n v="6"/>
    <n v="14"/>
    <n v="0"/>
    <n v="39801"/>
    <s v="No"/>
    <n v="6"/>
    <s v="Good"/>
  </r>
  <r>
    <s v="E022"/>
    <x v="5"/>
    <x v="1"/>
    <x v="0"/>
    <x v="0"/>
    <x v="21"/>
    <x v="1"/>
    <x v="0"/>
    <n v="8"/>
    <n v="0"/>
    <n v="15"/>
    <n v="8"/>
    <n v="20"/>
    <n v="0.75"/>
    <n v="40276"/>
    <s v="No"/>
    <n v="8"/>
    <s v="Excellent"/>
  </r>
  <r>
    <s v="E023"/>
    <x v="1"/>
    <x v="1"/>
    <x v="3"/>
    <x v="0"/>
    <x v="22"/>
    <x v="1"/>
    <x v="1"/>
    <n v="8"/>
    <n v="3"/>
    <n v="15"/>
    <n v="8"/>
    <n v="19"/>
    <n v="0.78947368421052633"/>
    <n v="31993"/>
    <s v="No"/>
    <n v="8"/>
    <s v="Excellent"/>
  </r>
  <r>
    <s v="E024"/>
    <x v="3"/>
    <x v="1"/>
    <x v="1"/>
    <x v="2"/>
    <x v="23"/>
    <x v="1"/>
    <x v="0"/>
    <n v="8"/>
    <n v="0"/>
    <n v="15"/>
    <n v="8"/>
    <n v="18"/>
    <n v="0.83333333333333337"/>
    <n v="34108"/>
    <s v="No"/>
    <n v="8"/>
    <s v="Excellent"/>
  </r>
  <r>
    <s v="E025"/>
    <x v="4"/>
    <x v="1"/>
    <x v="4"/>
    <x v="1"/>
    <x v="24"/>
    <x v="1"/>
    <x v="1"/>
    <n v="8"/>
    <n v="2"/>
    <n v="6"/>
    <n v="4"/>
    <n v="13"/>
    <n v="0.46153846153846156"/>
    <n v="43688"/>
    <s v="No"/>
    <n v="4"/>
    <s v="Average"/>
  </r>
  <r>
    <s v="E026"/>
    <x v="3"/>
    <x v="0"/>
    <x v="4"/>
    <x v="1"/>
    <x v="25"/>
    <x v="1"/>
    <x v="0"/>
    <n v="8"/>
    <n v="0"/>
    <n v="15"/>
    <n v="8"/>
    <n v="12"/>
    <n v="1.25"/>
    <n v="39884"/>
    <s v="Yes"/>
    <n v="8"/>
    <s v="Excellent"/>
  </r>
  <r>
    <s v="E027"/>
    <x v="3"/>
    <x v="0"/>
    <x v="1"/>
    <x v="3"/>
    <x v="26"/>
    <x v="1"/>
    <x v="1"/>
    <n v="8"/>
    <n v="1"/>
    <n v="13"/>
    <n v="10"/>
    <n v="18"/>
    <n v="0.72222222222222221"/>
    <n v="31510"/>
    <s v="No"/>
    <n v="10"/>
    <s v="Excellent"/>
  </r>
  <r>
    <s v="E028"/>
    <x v="6"/>
    <x v="0"/>
    <x v="5"/>
    <x v="3"/>
    <x v="27"/>
    <x v="1"/>
    <x v="0"/>
    <n v="8"/>
    <n v="0"/>
    <n v="10"/>
    <n v="9"/>
    <n v="19"/>
    <n v="0.52631578947368418"/>
    <n v="28690"/>
    <s v="No"/>
    <n v="9"/>
    <s v="Excellent"/>
  </r>
  <r>
    <s v="E029"/>
    <x v="9"/>
    <x v="0"/>
    <x v="1"/>
    <x v="2"/>
    <x v="28"/>
    <x v="1"/>
    <x v="3"/>
    <n v="0"/>
    <n v="0"/>
    <n v="0"/>
    <n v="8"/>
    <n v="12"/>
    <n v="0"/>
    <n v="46416"/>
    <s v="No"/>
    <n v="8"/>
    <s v="Excellent"/>
  </r>
  <r>
    <s v="E030"/>
    <x v="9"/>
    <x v="3"/>
    <x v="0"/>
    <x v="3"/>
    <x v="29"/>
    <x v="1"/>
    <x v="0"/>
    <n v="8"/>
    <n v="0"/>
    <n v="20"/>
    <n v="5"/>
    <n v="19"/>
    <n v="1.0526315789473684"/>
    <n v="49245"/>
    <s v="Yes"/>
    <n v="5"/>
    <s v="Good"/>
  </r>
  <r>
    <s v="E031"/>
    <x v="8"/>
    <x v="1"/>
    <x v="4"/>
    <x v="1"/>
    <x v="30"/>
    <x v="1"/>
    <x v="0"/>
    <n v="8"/>
    <n v="0"/>
    <n v="12"/>
    <n v="7"/>
    <n v="10"/>
    <n v="1.2"/>
    <n v="42818"/>
    <s v="Yes"/>
    <n v="7"/>
    <s v="Good"/>
  </r>
  <r>
    <s v="E032"/>
    <x v="1"/>
    <x v="0"/>
    <x v="2"/>
    <x v="1"/>
    <x v="31"/>
    <x v="1"/>
    <x v="3"/>
    <n v="0"/>
    <n v="0"/>
    <n v="0"/>
    <n v="5"/>
    <n v="13"/>
    <n v="0"/>
    <n v="43005"/>
    <s v="No"/>
    <n v="5"/>
    <s v="Average"/>
  </r>
  <r>
    <s v="E033"/>
    <x v="4"/>
    <x v="3"/>
    <x v="5"/>
    <x v="2"/>
    <x v="32"/>
    <x v="1"/>
    <x v="1"/>
    <n v="8"/>
    <n v="1"/>
    <n v="15"/>
    <n v="6"/>
    <n v="20"/>
    <n v="0.75"/>
    <n v="48315"/>
    <s v="No"/>
    <n v="6"/>
    <s v="Good"/>
  </r>
  <r>
    <s v="E034"/>
    <x v="2"/>
    <x v="1"/>
    <x v="5"/>
    <x v="2"/>
    <x v="33"/>
    <x v="1"/>
    <x v="1"/>
    <n v="8"/>
    <n v="3"/>
    <n v="10"/>
    <n v="4"/>
    <n v="13"/>
    <n v="0.76923076923076927"/>
    <n v="34132"/>
    <s v="No"/>
    <n v="4"/>
    <s v="Average"/>
  </r>
  <r>
    <s v="E035"/>
    <x v="5"/>
    <x v="0"/>
    <x v="5"/>
    <x v="1"/>
    <x v="34"/>
    <x v="1"/>
    <x v="3"/>
    <n v="0"/>
    <n v="0"/>
    <n v="0"/>
    <n v="6"/>
    <n v="15"/>
    <n v="0"/>
    <n v="27634"/>
    <s v="No"/>
    <n v="6"/>
    <s v="Good"/>
  </r>
  <r>
    <s v="E036"/>
    <x v="6"/>
    <x v="2"/>
    <x v="3"/>
    <x v="0"/>
    <x v="35"/>
    <x v="1"/>
    <x v="3"/>
    <n v="0"/>
    <n v="0"/>
    <n v="0"/>
    <n v="7"/>
    <n v="16"/>
    <n v="0"/>
    <n v="28546"/>
    <s v="No"/>
    <n v="7"/>
    <s v="Good"/>
  </r>
  <r>
    <s v="E037"/>
    <x v="1"/>
    <x v="1"/>
    <x v="2"/>
    <x v="1"/>
    <x v="36"/>
    <x v="1"/>
    <x v="0"/>
    <n v="8"/>
    <n v="0"/>
    <n v="10"/>
    <n v="4"/>
    <n v="13"/>
    <n v="0.76923076923076927"/>
    <n v="27053"/>
    <s v="No"/>
    <n v="4"/>
    <s v="Average"/>
  </r>
  <r>
    <s v="E038"/>
    <x v="7"/>
    <x v="3"/>
    <x v="5"/>
    <x v="2"/>
    <x v="37"/>
    <x v="1"/>
    <x v="0"/>
    <n v="8"/>
    <n v="0"/>
    <n v="5"/>
    <n v="3"/>
    <n v="13"/>
    <n v="0.38461538461538464"/>
    <n v="40611"/>
    <s v="No"/>
    <n v="3"/>
    <s v="Poor"/>
  </r>
  <r>
    <s v="E039"/>
    <x v="7"/>
    <x v="0"/>
    <x v="3"/>
    <x v="1"/>
    <x v="38"/>
    <x v="1"/>
    <x v="1"/>
    <n v="8"/>
    <n v="3"/>
    <n v="18"/>
    <n v="3"/>
    <n v="19"/>
    <n v="0.94736842105263153"/>
    <n v="28977"/>
    <s v="Yes"/>
    <n v="3"/>
    <s v="Poor"/>
  </r>
  <r>
    <s v="E040"/>
    <x v="5"/>
    <x v="2"/>
    <x v="4"/>
    <x v="0"/>
    <x v="39"/>
    <x v="1"/>
    <x v="0"/>
    <n v="8"/>
    <n v="0"/>
    <n v="7"/>
    <n v="7"/>
    <n v="10"/>
    <n v="0.7"/>
    <n v="34392"/>
    <s v="No"/>
    <n v="7"/>
    <s v="Good"/>
  </r>
  <r>
    <s v="E041"/>
    <x v="2"/>
    <x v="3"/>
    <x v="4"/>
    <x v="3"/>
    <x v="40"/>
    <x v="1"/>
    <x v="0"/>
    <n v="8"/>
    <n v="0"/>
    <n v="13"/>
    <n v="9"/>
    <n v="19"/>
    <n v="0.68421052631578949"/>
    <n v="44371"/>
    <s v="No"/>
    <n v="9"/>
    <s v="Excellent"/>
  </r>
  <r>
    <s v="E042"/>
    <x v="5"/>
    <x v="3"/>
    <x v="2"/>
    <x v="2"/>
    <x v="41"/>
    <x v="1"/>
    <x v="3"/>
    <n v="0"/>
    <n v="0"/>
    <n v="0"/>
    <n v="7"/>
    <n v="12"/>
    <n v="0"/>
    <n v="28475"/>
    <s v="No"/>
    <n v="7"/>
    <s v="Good"/>
  </r>
  <r>
    <s v="E043"/>
    <x v="3"/>
    <x v="0"/>
    <x v="2"/>
    <x v="2"/>
    <x v="42"/>
    <x v="2"/>
    <x v="2"/>
    <n v="0"/>
    <n v="0"/>
    <n v="0"/>
    <n v="4"/>
    <n v="12"/>
    <n v="0"/>
    <n v="42612"/>
    <s v="No"/>
    <n v="4"/>
    <s v="Average"/>
  </r>
  <r>
    <s v="E044"/>
    <x v="6"/>
    <x v="3"/>
    <x v="4"/>
    <x v="1"/>
    <x v="43"/>
    <x v="2"/>
    <x v="3"/>
    <n v="0"/>
    <n v="0"/>
    <n v="0"/>
    <n v="3"/>
    <n v="15"/>
    <n v="0"/>
    <n v="39865"/>
    <s v="No"/>
    <n v="3"/>
    <s v="Poor"/>
  </r>
  <r>
    <s v="E045"/>
    <x v="0"/>
    <x v="1"/>
    <x v="1"/>
    <x v="3"/>
    <x v="44"/>
    <x v="2"/>
    <x v="3"/>
    <n v="0"/>
    <n v="0"/>
    <n v="0"/>
    <n v="5"/>
    <n v="18"/>
    <n v="0"/>
    <n v="49289"/>
    <s v="No"/>
    <n v="5"/>
    <s v="Good"/>
  </r>
  <r>
    <s v="E046"/>
    <x v="8"/>
    <x v="1"/>
    <x v="1"/>
    <x v="2"/>
    <x v="45"/>
    <x v="2"/>
    <x v="2"/>
    <n v="0"/>
    <n v="0"/>
    <n v="0"/>
    <n v="8"/>
    <n v="19"/>
    <n v="0"/>
    <n v="47597"/>
    <s v="No"/>
    <n v="8"/>
    <s v="Excellent"/>
  </r>
  <r>
    <s v="E047"/>
    <x v="8"/>
    <x v="3"/>
    <x v="4"/>
    <x v="1"/>
    <x v="46"/>
    <x v="2"/>
    <x v="1"/>
    <n v="8"/>
    <n v="3"/>
    <n v="11"/>
    <n v="8"/>
    <n v="20"/>
    <n v="0.55000000000000004"/>
    <n v="37648"/>
    <s v="No"/>
    <n v="8"/>
    <s v="Excellent"/>
  </r>
  <r>
    <s v="E048"/>
    <x v="0"/>
    <x v="1"/>
    <x v="0"/>
    <x v="3"/>
    <x v="47"/>
    <x v="2"/>
    <x v="3"/>
    <n v="0"/>
    <n v="0"/>
    <n v="0"/>
    <n v="6"/>
    <n v="17"/>
    <n v="0"/>
    <n v="38780"/>
    <s v="No"/>
    <n v="6"/>
    <s v="Average"/>
  </r>
  <r>
    <s v="E049"/>
    <x v="0"/>
    <x v="2"/>
    <x v="0"/>
    <x v="0"/>
    <x v="48"/>
    <x v="2"/>
    <x v="1"/>
    <n v="8"/>
    <n v="0"/>
    <n v="18"/>
    <n v="5"/>
    <n v="17"/>
    <n v="1.0588235294117647"/>
    <n v="34990"/>
    <s v="Yes"/>
    <n v="5"/>
    <s v="Average"/>
  </r>
  <r>
    <s v="E050"/>
    <x v="1"/>
    <x v="0"/>
    <x v="4"/>
    <x v="3"/>
    <x v="49"/>
    <x v="2"/>
    <x v="3"/>
    <n v="0"/>
    <n v="0"/>
    <n v="0"/>
    <n v="3"/>
    <n v="19"/>
    <n v="0"/>
    <n v="45187"/>
    <s v="No"/>
    <n v="3"/>
    <s v="Poor"/>
  </r>
  <r>
    <s v="E051"/>
    <x v="4"/>
    <x v="2"/>
    <x v="1"/>
    <x v="1"/>
    <x v="50"/>
    <x v="2"/>
    <x v="3"/>
    <n v="0"/>
    <n v="0"/>
    <n v="0"/>
    <n v="6"/>
    <n v="18"/>
    <n v="0"/>
    <n v="28002"/>
    <s v="No"/>
    <n v="6"/>
    <s v="Average"/>
  </r>
  <r>
    <s v="E052"/>
    <x v="7"/>
    <x v="1"/>
    <x v="3"/>
    <x v="0"/>
    <x v="51"/>
    <x v="2"/>
    <x v="3"/>
    <n v="0"/>
    <n v="0"/>
    <n v="0"/>
    <n v="6"/>
    <n v="19"/>
    <n v="0"/>
    <n v="29635"/>
    <s v="No"/>
    <n v="6"/>
    <s v="Average"/>
  </r>
  <r>
    <s v="E053"/>
    <x v="1"/>
    <x v="1"/>
    <x v="4"/>
    <x v="2"/>
    <x v="52"/>
    <x v="2"/>
    <x v="1"/>
    <n v="8"/>
    <n v="2"/>
    <n v="8"/>
    <n v="8"/>
    <n v="11"/>
    <n v="0.72727272727272729"/>
    <n v="25256"/>
    <s v="No"/>
    <n v="8"/>
    <s v="Excellent"/>
  </r>
  <r>
    <s v="E054"/>
    <x v="8"/>
    <x v="2"/>
    <x v="2"/>
    <x v="0"/>
    <x v="53"/>
    <x v="2"/>
    <x v="0"/>
    <n v="8"/>
    <n v="0"/>
    <n v="20"/>
    <n v="5"/>
    <n v="18"/>
    <n v="1.1111111111111112"/>
    <n v="42732"/>
    <s v="Yes"/>
    <n v="5"/>
    <s v="Good"/>
  </r>
  <r>
    <s v="E055"/>
    <x v="6"/>
    <x v="3"/>
    <x v="5"/>
    <x v="3"/>
    <x v="54"/>
    <x v="2"/>
    <x v="3"/>
    <n v="0"/>
    <n v="0"/>
    <n v="0"/>
    <n v="8"/>
    <n v="16"/>
    <n v="0"/>
    <n v="45019"/>
    <s v="No"/>
    <n v="8"/>
    <s v="Excellent"/>
  </r>
  <r>
    <s v="E056"/>
    <x v="8"/>
    <x v="0"/>
    <x v="0"/>
    <x v="1"/>
    <x v="55"/>
    <x v="2"/>
    <x v="0"/>
    <n v="8"/>
    <n v="0"/>
    <n v="14"/>
    <n v="4"/>
    <n v="17"/>
    <n v="0.82352941176470584"/>
    <n v="45171"/>
    <s v="No"/>
    <n v="4"/>
    <s v="Average"/>
  </r>
  <r>
    <s v="E057"/>
    <x v="4"/>
    <x v="3"/>
    <x v="1"/>
    <x v="3"/>
    <x v="56"/>
    <x v="2"/>
    <x v="0"/>
    <n v="8"/>
    <n v="0"/>
    <n v="13"/>
    <n v="10"/>
    <n v="10"/>
    <n v="1.3"/>
    <n v="45269"/>
    <s v="Yes"/>
    <n v="10"/>
    <s v="Excellent"/>
  </r>
  <r>
    <s v="E058"/>
    <x v="7"/>
    <x v="2"/>
    <x v="3"/>
    <x v="3"/>
    <x v="57"/>
    <x v="2"/>
    <x v="3"/>
    <n v="0"/>
    <n v="0"/>
    <n v="0"/>
    <n v="7"/>
    <n v="17"/>
    <n v="0"/>
    <n v="34038"/>
    <s v="No"/>
    <n v="7"/>
    <s v="Good"/>
  </r>
  <r>
    <s v="E059"/>
    <x v="4"/>
    <x v="0"/>
    <x v="3"/>
    <x v="2"/>
    <x v="58"/>
    <x v="2"/>
    <x v="0"/>
    <n v="8"/>
    <n v="0"/>
    <n v="8"/>
    <n v="10"/>
    <n v="17"/>
    <n v="0.47058823529411764"/>
    <n v="25550"/>
    <s v="No"/>
    <n v="10"/>
    <s v="Excellent"/>
  </r>
  <r>
    <s v="E060"/>
    <x v="2"/>
    <x v="3"/>
    <x v="0"/>
    <x v="2"/>
    <x v="59"/>
    <x v="2"/>
    <x v="2"/>
    <n v="0"/>
    <n v="0"/>
    <n v="0"/>
    <n v="10"/>
    <n v="17"/>
    <n v="0"/>
    <n v="46498"/>
    <s v="No"/>
    <n v="10"/>
    <s v="Excellent"/>
  </r>
  <r>
    <s v="E061"/>
    <x v="5"/>
    <x v="3"/>
    <x v="2"/>
    <x v="1"/>
    <x v="60"/>
    <x v="2"/>
    <x v="3"/>
    <n v="0"/>
    <n v="0"/>
    <n v="0"/>
    <n v="9"/>
    <n v="16"/>
    <n v="0"/>
    <n v="39500"/>
    <s v="No"/>
    <n v="9"/>
    <s v="Excellent"/>
  </r>
  <r>
    <s v="E062"/>
    <x v="4"/>
    <x v="0"/>
    <x v="5"/>
    <x v="2"/>
    <x v="61"/>
    <x v="2"/>
    <x v="1"/>
    <n v="8"/>
    <n v="0"/>
    <n v="16"/>
    <n v="7"/>
    <n v="13"/>
    <n v="1.2307692307692308"/>
    <n v="37246"/>
    <s v="Yes"/>
    <n v="7"/>
    <s v="Good"/>
  </r>
  <r>
    <s v="E063"/>
    <x v="8"/>
    <x v="3"/>
    <x v="4"/>
    <x v="0"/>
    <x v="62"/>
    <x v="2"/>
    <x v="1"/>
    <n v="8"/>
    <n v="2"/>
    <n v="18"/>
    <n v="9"/>
    <n v="11"/>
    <n v="1.6363636363636365"/>
    <n v="31724"/>
    <s v="Yes"/>
    <n v="9"/>
    <s v="Excellent"/>
  </r>
  <r>
    <s v="E064"/>
    <x v="6"/>
    <x v="1"/>
    <x v="2"/>
    <x v="0"/>
    <x v="63"/>
    <x v="2"/>
    <x v="2"/>
    <n v="0"/>
    <n v="0"/>
    <n v="0"/>
    <n v="7"/>
    <n v="13"/>
    <n v="0"/>
    <n v="44485"/>
    <s v="No"/>
    <n v="7"/>
    <s v="Good"/>
  </r>
  <r>
    <s v="E065"/>
    <x v="6"/>
    <x v="0"/>
    <x v="0"/>
    <x v="2"/>
    <x v="64"/>
    <x v="2"/>
    <x v="2"/>
    <n v="0"/>
    <n v="0"/>
    <n v="0"/>
    <n v="8"/>
    <n v="20"/>
    <n v="0"/>
    <n v="25102"/>
    <s v="No"/>
    <n v="8"/>
    <s v="Excellent"/>
  </r>
  <r>
    <s v="E066"/>
    <x v="4"/>
    <x v="0"/>
    <x v="4"/>
    <x v="0"/>
    <x v="65"/>
    <x v="2"/>
    <x v="1"/>
    <n v="8"/>
    <n v="1"/>
    <n v="7"/>
    <n v="6"/>
    <n v="10"/>
    <n v="0.7"/>
    <n v="36345"/>
    <s v="No"/>
    <n v="6"/>
    <s v="Average"/>
  </r>
  <r>
    <s v="E067"/>
    <x v="2"/>
    <x v="0"/>
    <x v="2"/>
    <x v="1"/>
    <x v="66"/>
    <x v="2"/>
    <x v="1"/>
    <n v="8"/>
    <n v="1"/>
    <n v="15"/>
    <n v="8"/>
    <n v="20"/>
    <n v="0.75"/>
    <n v="34455"/>
    <s v="No"/>
    <n v="8"/>
    <s v="Excellent"/>
  </r>
  <r>
    <s v="E068"/>
    <x v="0"/>
    <x v="2"/>
    <x v="0"/>
    <x v="0"/>
    <x v="67"/>
    <x v="2"/>
    <x v="0"/>
    <n v="8"/>
    <n v="0"/>
    <n v="14"/>
    <n v="7"/>
    <n v="18"/>
    <n v="0.77777777777777779"/>
    <n v="39959"/>
    <s v="No"/>
    <n v="7"/>
    <s v="Good"/>
  </r>
  <r>
    <s v="E069"/>
    <x v="6"/>
    <x v="1"/>
    <x v="4"/>
    <x v="0"/>
    <x v="68"/>
    <x v="2"/>
    <x v="0"/>
    <n v="8"/>
    <n v="0"/>
    <n v="8"/>
    <n v="8"/>
    <n v="13"/>
    <n v="0.61538461538461542"/>
    <n v="39372"/>
    <s v="No"/>
    <n v="8"/>
    <s v="Excellent"/>
  </r>
  <r>
    <s v="E070"/>
    <x v="1"/>
    <x v="2"/>
    <x v="0"/>
    <x v="2"/>
    <x v="69"/>
    <x v="2"/>
    <x v="1"/>
    <n v="8"/>
    <n v="0"/>
    <n v="18"/>
    <n v="4"/>
    <n v="18"/>
    <n v="1"/>
    <n v="42577"/>
    <s v="Yes"/>
    <n v="4"/>
    <s v="Average"/>
  </r>
  <r>
    <s v="E071"/>
    <x v="0"/>
    <x v="3"/>
    <x v="1"/>
    <x v="3"/>
    <x v="70"/>
    <x v="2"/>
    <x v="3"/>
    <n v="0"/>
    <n v="0"/>
    <n v="0"/>
    <n v="7"/>
    <n v="12"/>
    <n v="0"/>
    <n v="40587"/>
    <s v="No"/>
    <n v="7"/>
    <s v="Average"/>
  </r>
  <r>
    <s v="E072"/>
    <x v="1"/>
    <x v="1"/>
    <x v="0"/>
    <x v="1"/>
    <x v="71"/>
    <x v="2"/>
    <x v="1"/>
    <n v="8"/>
    <n v="1"/>
    <n v="5"/>
    <n v="8"/>
    <n v="20"/>
    <n v="0.25"/>
    <n v="43827"/>
    <s v="No"/>
    <n v="8"/>
    <s v="Excellent"/>
  </r>
  <r>
    <s v="E073"/>
    <x v="6"/>
    <x v="2"/>
    <x v="5"/>
    <x v="3"/>
    <x v="72"/>
    <x v="2"/>
    <x v="2"/>
    <n v="0"/>
    <n v="0"/>
    <n v="0"/>
    <n v="5"/>
    <n v="13"/>
    <n v="0"/>
    <n v="45371"/>
    <s v="No"/>
    <n v="5"/>
    <s v="Good"/>
  </r>
  <r>
    <s v="E074"/>
    <x v="6"/>
    <x v="3"/>
    <x v="1"/>
    <x v="2"/>
    <x v="73"/>
    <x v="3"/>
    <x v="1"/>
    <n v="8"/>
    <n v="1"/>
    <n v="8"/>
    <n v="7"/>
    <n v="12"/>
    <n v="0.66666666666666663"/>
    <n v="45440"/>
    <s v="No"/>
    <n v="7"/>
    <s v="Good"/>
  </r>
  <r>
    <s v="E075"/>
    <x v="4"/>
    <x v="0"/>
    <x v="0"/>
    <x v="0"/>
    <x v="74"/>
    <x v="3"/>
    <x v="0"/>
    <n v="8"/>
    <n v="0"/>
    <n v="20"/>
    <n v="8"/>
    <n v="13"/>
    <n v="1.5384615384615385"/>
    <n v="41070"/>
    <s v="Yes"/>
    <n v="8"/>
    <s v="Excellent"/>
  </r>
  <r>
    <s v="E076"/>
    <x v="2"/>
    <x v="0"/>
    <x v="1"/>
    <x v="3"/>
    <x v="75"/>
    <x v="3"/>
    <x v="3"/>
    <n v="0"/>
    <n v="0"/>
    <n v="0"/>
    <n v="6"/>
    <n v="10"/>
    <n v="0"/>
    <n v="31529"/>
    <s v="No"/>
    <n v="6"/>
    <s v="Good"/>
  </r>
  <r>
    <s v="E077"/>
    <x v="0"/>
    <x v="3"/>
    <x v="0"/>
    <x v="3"/>
    <x v="76"/>
    <x v="3"/>
    <x v="1"/>
    <n v="8"/>
    <n v="2"/>
    <n v="18"/>
    <n v="3"/>
    <n v="10"/>
    <n v="1.8"/>
    <n v="40503"/>
    <s v="Yes"/>
    <n v="3"/>
    <s v="Poor"/>
  </r>
  <r>
    <s v="E078"/>
    <x v="5"/>
    <x v="3"/>
    <x v="5"/>
    <x v="2"/>
    <x v="77"/>
    <x v="3"/>
    <x v="2"/>
    <n v="0"/>
    <n v="0"/>
    <n v="0"/>
    <n v="7"/>
    <n v="16"/>
    <n v="0"/>
    <n v="25688"/>
    <s v="No"/>
    <n v="7"/>
    <s v="Good"/>
  </r>
  <r>
    <s v="E079"/>
    <x v="0"/>
    <x v="3"/>
    <x v="3"/>
    <x v="2"/>
    <x v="78"/>
    <x v="3"/>
    <x v="2"/>
    <n v="0"/>
    <n v="0"/>
    <n v="0"/>
    <n v="8"/>
    <n v="16"/>
    <n v="0"/>
    <n v="39505"/>
    <s v="No"/>
    <n v="8"/>
    <s v="Excellent"/>
  </r>
  <r>
    <s v="E080"/>
    <x v="9"/>
    <x v="2"/>
    <x v="4"/>
    <x v="0"/>
    <x v="79"/>
    <x v="3"/>
    <x v="0"/>
    <n v="8"/>
    <n v="0"/>
    <n v="7"/>
    <n v="3"/>
    <n v="17"/>
    <n v="0.41176470588235292"/>
    <n v="47678"/>
    <s v="No"/>
    <n v="3"/>
    <s v="Poor"/>
  </r>
  <r>
    <s v="E081"/>
    <x v="7"/>
    <x v="1"/>
    <x v="3"/>
    <x v="2"/>
    <x v="80"/>
    <x v="3"/>
    <x v="2"/>
    <n v="0"/>
    <n v="0"/>
    <n v="0"/>
    <n v="3"/>
    <n v="10"/>
    <n v="0"/>
    <n v="39491"/>
    <s v="No"/>
    <n v="3"/>
    <s v="Poor"/>
  </r>
  <r>
    <s v="E082"/>
    <x v="7"/>
    <x v="1"/>
    <x v="4"/>
    <x v="1"/>
    <x v="81"/>
    <x v="3"/>
    <x v="1"/>
    <n v="8"/>
    <n v="1"/>
    <n v="10"/>
    <n v="5"/>
    <n v="19"/>
    <n v="0.52631578947368418"/>
    <n v="27300"/>
    <s v="No"/>
    <n v="5"/>
    <s v="Good"/>
  </r>
  <r>
    <s v="E083"/>
    <x v="0"/>
    <x v="3"/>
    <x v="2"/>
    <x v="3"/>
    <x v="82"/>
    <x v="3"/>
    <x v="1"/>
    <n v="8"/>
    <n v="1"/>
    <n v="5"/>
    <n v="5"/>
    <n v="15"/>
    <n v="0.33333333333333331"/>
    <n v="46788"/>
    <s v="No"/>
    <n v="5"/>
    <s v="Good"/>
  </r>
  <r>
    <s v="E084"/>
    <x v="2"/>
    <x v="0"/>
    <x v="0"/>
    <x v="1"/>
    <x v="83"/>
    <x v="3"/>
    <x v="2"/>
    <n v="0"/>
    <n v="0"/>
    <n v="0"/>
    <n v="4"/>
    <n v="10"/>
    <n v="0"/>
    <n v="42962"/>
    <s v="No"/>
    <n v="4"/>
    <s v="Average"/>
  </r>
  <r>
    <s v="E085"/>
    <x v="4"/>
    <x v="1"/>
    <x v="5"/>
    <x v="3"/>
    <x v="84"/>
    <x v="3"/>
    <x v="3"/>
    <n v="0"/>
    <n v="0"/>
    <n v="0"/>
    <n v="7"/>
    <n v="20"/>
    <n v="0"/>
    <n v="27963"/>
    <s v="No"/>
    <n v="7"/>
    <s v="Good"/>
  </r>
  <r>
    <s v="E086"/>
    <x v="9"/>
    <x v="0"/>
    <x v="4"/>
    <x v="1"/>
    <x v="85"/>
    <x v="3"/>
    <x v="2"/>
    <n v="0"/>
    <n v="0"/>
    <n v="0"/>
    <n v="6"/>
    <n v="14"/>
    <n v="0"/>
    <n v="38219"/>
    <s v="No"/>
    <n v="6"/>
    <s v="Average"/>
  </r>
  <r>
    <s v="E087"/>
    <x v="9"/>
    <x v="3"/>
    <x v="4"/>
    <x v="2"/>
    <x v="86"/>
    <x v="3"/>
    <x v="2"/>
    <n v="0"/>
    <n v="0"/>
    <n v="0"/>
    <n v="9"/>
    <n v="13"/>
    <n v="0"/>
    <n v="35459"/>
    <s v="No"/>
    <n v="9"/>
    <s v="Excellent"/>
  </r>
  <r>
    <s v="E088"/>
    <x v="6"/>
    <x v="2"/>
    <x v="4"/>
    <x v="0"/>
    <x v="87"/>
    <x v="3"/>
    <x v="2"/>
    <n v="0"/>
    <n v="0"/>
    <n v="0"/>
    <n v="5"/>
    <n v="19"/>
    <n v="0"/>
    <n v="36433"/>
    <s v="No"/>
    <n v="5"/>
    <s v="Average"/>
  </r>
  <r>
    <s v="E089"/>
    <x v="8"/>
    <x v="0"/>
    <x v="1"/>
    <x v="1"/>
    <x v="88"/>
    <x v="3"/>
    <x v="2"/>
    <n v="0"/>
    <n v="0"/>
    <n v="0"/>
    <n v="7"/>
    <n v="18"/>
    <n v="0"/>
    <n v="42097"/>
    <s v="No"/>
    <n v="7"/>
    <s v="Good"/>
  </r>
  <r>
    <s v="E090"/>
    <x v="3"/>
    <x v="0"/>
    <x v="4"/>
    <x v="1"/>
    <x v="89"/>
    <x v="3"/>
    <x v="0"/>
    <n v="8"/>
    <n v="0"/>
    <n v="10"/>
    <n v="5"/>
    <n v="13"/>
    <n v="0.76923076923076927"/>
    <n v="42620"/>
    <s v="No"/>
    <n v="5"/>
    <s v="Good"/>
  </r>
  <r>
    <s v="E091"/>
    <x v="6"/>
    <x v="3"/>
    <x v="0"/>
    <x v="2"/>
    <x v="90"/>
    <x v="3"/>
    <x v="2"/>
    <n v="0"/>
    <n v="0"/>
    <n v="0"/>
    <n v="6"/>
    <n v="15"/>
    <n v="0"/>
    <n v="30358"/>
    <s v="No"/>
    <n v="6"/>
    <s v="Good"/>
  </r>
  <r>
    <s v="E092"/>
    <x v="0"/>
    <x v="0"/>
    <x v="5"/>
    <x v="0"/>
    <x v="91"/>
    <x v="3"/>
    <x v="1"/>
    <n v="8"/>
    <n v="1"/>
    <n v="5"/>
    <n v="7"/>
    <n v="15"/>
    <n v="0.33333333333333331"/>
    <n v="47613"/>
    <s v="No"/>
    <n v="7"/>
    <s v="Good"/>
  </r>
  <r>
    <s v="E093"/>
    <x v="5"/>
    <x v="3"/>
    <x v="2"/>
    <x v="0"/>
    <x v="92"/>
    <x v="3"/>
    <x v="0"/>
    <n v="8"/>
    <n v="0"/>
    <n v="9"/>
    <n v="6"/>
    <n v="17"/>
    <n v="0.52941176470588236"/>
    <n v="35431"/>
    <s v="No"/>
    <n v="6"/>
    <s v="Good"/>
  </r>
  <r>
    <s v="E094"/>
    <x v="4"/>
    <x v="0"/>
    <x v="5"/>
    <x v="1"/>
    <x v="93"/>
    <x v="3"/>
    <x v="0"/>
    <n v="8"/>
    <n v="0"/>
    <n v="15"/>
    <n v="6"/>
    <n v="17"/>
    <n v="0.88235294117647056"/>
    <n v="43386"/>
    <s v="No"/>
    <n v="6"/>
    <s v="Average"/>
  </r>
  <r>
    <s v="E095"/>
    <x v="9"/>
    <x v="2"/>
    <x v="2"/>
    <x v="3"/>
    <x v="94"/>
    <x v="3"/>
    <x v="1"/>
    <n v="8"/>
    <n v="3"/>
    <n v="20"/>
    <n v="5"/>
    <n v="11"/>
    <n v="1.8181818181818181"/>
    <n v="28820"/>
    <s v="Yes"/>
    <n v="5"/>
    <s v="Good"/>
  </r>
  <r>
    <s v="E096"/>
    <x v="4"/>
    <x v="2"/>
    <x v="4"/>
    <x v="3"/>
    <x v="95"/>
    <x v="3"/>
    <x v="3"/>
    <n v="0"/>
    <n v="0"/>
    <n v="0"/>
    <n v="7"/>
    <n v="10"/>
    <n v="0"/>
    <n v="26679"/>
    <s v="No"/>
    <n v="7"/>
    <s v="Good"/>
  </r>
  <r>
    <s v="E097"/>
    <x v="7"/>
    <x v="3"/>
    <x v="1"/>
    <x v="1"/>
    <x v="96"/>
    <x v="3"/>
    <x v="0"/>
    <n v="8"/>
    <n v="0"/>
    <n v="9"/>
    <n v="7"/>
    <n v="10"/>
    <n v="0.9"/>
    <n v="32438"/>
    <s v="Yes"/>
    <n v="7"/>
    <s v="Good"/>
  </r>
  <r>
    <s v="E098"/>
    <x v="9"/>
    <x v="3"/>
    <x v="2"/>
    <x v="3"/>
    <x v="97"/>
    <x v="3"/>
    <x v="3"/>
    <n v="0"/>
    <n v="0"/>
    <n v="0"/>
    <n v="7"/>
    <n v="14"/>
    <n v="0"/>
    <n v="26348"/>
    <s v="No"/>
    <n v="7"/>
    <s v="Poor"/>
  </r>
  <r>
    <s v="E099"/>
    <x v="0"/>
    <x v="0"/>
    <x v="1"/>
    <x v="2"/>
    <x v="98"/>
    <x v="3"/>
    <x v="3"/>
    <n v="0"/>
    <n v="0"/>
    <n v="0"/>
    <n v="10"/>
    <n v="13"/>
    <n v="0"/>
    <n v="40354"/>
    <s v="No"/>
    <n v="10"/>
    <s v="Excellent"/>
  </r>
  <r>
    <s v="E100"/>
    <x v="5"/>
    <x v="0"/>
    <x v="0"/>
    <x v="3"/>
    <x v="99"/>
    <x v="3"/>
    <x v="1"/>
    <n v="8"/>
    <n v="1"/>
    <n v="16"/>
    <n v="10"/>
    <n v="20"/>
    <n v="0.8"/>
    <n v="48904"/>
    <s v="No"/>
    <n v="10"/>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6F7AD-8519-4803-A0C2-4EE6011DCC1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8" firstHeaderRow="1" firstDataRow="1" firstDataCol="1"/>
  <pivotFields count="23">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9" showAll="0"/>
    <pivotField showAll="0"/>
  </pivotFields>
  <rowFields count="1">
    <field x="2"/>
  </rowFields>
  <rowItems count="5">
    <i>
      <x v="3"/>
    </i>
    <i>
      <x v="1"/>
    </i>
    <i>
      <x/>
    </i>
    <i>
      <x v="2"/>
    </i>
    <i t="grand">
      <x/>
    </i>
  </rowItems>
  <colItems count="1">
    <i/>
  </colItems>
  <dataFields count="1">
    <dataField name="Average of Performance Score" fld="11" subtotal="average" baseField="2" baseItem="0"/>
  </dataFields>
  <formats count="2">
    <format dxfId="6">
      <pivotArea collapsedLevelsAreSubtotals="1" fieldPosition="0">
        <references count="2">
          <reference field="4294967294" count="1" selected="0">
            <x v="0"/>
          </reference>
          <reference field="2" count="0"/>
        </references>
      </pivotArea>
    </format>
    <format dxfId="5">
      <pivotArea field="2" grandRow="1" outline="0" collapsedLevelsAreSubtotals="1" axis="axisRow" fieldPosition="0">
        <references count="1">
          <reference field="4294967294" count="1" selected="0">
            <x v="0"/>
          </reference>
        </references>
      </pivotArea>
    </format>
  </formats>
  <chartFormats count="1">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B8224-0E90-4C6B-B912-5E4D1945F65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4:G19" firstHeaderRow="0" firstDataRow="1" firstDataCol="1"/>
  <pivotFields count="18">
    <pivotField showAll="0"/>
    <pivotField showAll="0"/>
    <pivotField showAll="0"/>
    <pivotField showAll="0"/>
    <pivotField axis="axisRow" showAll="0">
      <items count="5">
        <item x="0"/>
        <item x="3"/>
        <item x="2"/>
        <item x="1"/>
        <item t="default"/>
      </items>
    </pivotField>
    <pivotField numFmtId="14" showAll="0"/>
    <pivotField showAll="0">
      <items count="5">
        <item x="0"/>
        <item x="1"/>
        <item x="2"/>
        <item x="3"/>
        <item t="default"/>
      </items>
    </pivotField>
    <pivotField showAll="0"/>
    <pivotField showAll="0"/>
    <pivotField showAll="0"/>
    <pivotField dataField="1" showAll="0"/>
    <pivotField dataField="1" showAll="0"/>
    <pivotField showAll="0"/>
    <pivotField numFmtId="9"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Sum of Tasks Completed" fld="10" baseField="0" baseItem="0"/>
    <dataField name="Average of Performance Score" fld="11" subtotal="average" baseField="4"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9DB2B-A860-4EE1-ACA6-A032D1DC911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9" firstHeaderRow="1" firstDataRow="1" firstDataCol="1"/>
  <pivotFields count="18">
    <pivotField showAll="0"/>
    <pivotField showAll="0"/>
    <pivotField showAll="0">
      <items count="5">
        <item x="1"/>
        <item x="3"/>
        <item x="0"/>
        <item x="2"/>
        <item t="default"/>
      </items>
    </pivotField>
    <pivotField showAll="0">
      <items count="7">
        <item x="3"/>
        <item x="0"/>
        <item x="5"/>
        <item x="4"/>
        <item x="1"/>
        <item x="2"/>
        <item t="default"/>
      </items>
    </pivotField>
    <pivotField showAll="0">
      <items count="5">
        <item x="0"/>
        <item x="3"/>
        <item x="2"/>
        <item x="1"/>
        <item t="default"/>
      </items>
    </pivotField>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x="0"/>
        <item x="1"/>
        <item x="2"/>
        <item x="3"/>
        <item t="default"/>
      </items>
    </pivotField>
    <pivotField showAll="0"/>
    <pivotField showAll="0"/>
    <pivotField showAll="0"/>
    <pivotField dataField="1" showAll="0"/>
    <pivotField showAll="0"/>
    <pivotField showAll="0"/>
    <pivotField numFmtId="9" showAll="0"/>
    <pivotField showAll="0"/>
    <pivotField showAll="0"/>
    <pivotField showAll="0"/>
    <pivotField showAll="0"/>
  </pivotFields>
  <rowFields count="1">
    <field x="6"/>
  </rowFields>
  <rowItems count="5">
    <i>
      <x/>
    </i>
    <i>
      <x v="1"/>
    </i>
    <i>
      <x v="2"/>
    </i>
    <i>
      <x v="3"/>
    </i>
    <i t="grand">
      <x/>
    </i>
  </rowItems>
  <colItems count="1">
    <i/>
  </colItems>
  <dataFields count="1">
    <dataField name="Sum of Tasks Completed"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93BC39-2CA0-4E2B-A27F-F3EA7269873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Q14" firstHeaderRow="0" firstDataRow="1" firstDataCol="1"/>
  <pivotFields count="18">
    <pivotField showAll="0"/>
    <pivotField axis="axisRow" showAll="0" sortType="descending">
      <items count="11">
        <item x="3"/>
        <item x="9"/>
        <item x="4"/>
        <item x="0"/>
        <item x="1"/>
        <item x="2"/>
        <item x="7"/>
        <item x="8"/>
        <item x="5"/>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4" showAll="0"/>
    <pivotField showAll="0">
      <items count="5">
        <item x="0"/>
        <item x="1"/>
        <item x="2"/>
        <item x="3"/>
        <item t="default"/>
      </items>
    </pivotField>
    <pivotField showAll="0"/>
    <pivotField showAll="0"/>
    <pivotField showAll="0"/>
    <pivotField dataField="1" showAll="0"/>
    <pivotField showAll="0"/>
    <pivotField dataField="1" showAll="0"/>
    <pivotField numFmtId="9" showAll="0"/>
    <pivotField showAll="0"/>
    <pivotField showAll="0"/>
    <pivotField showAll="0"/>
    <pivotField showAll="0"/>
  </pivotFields>
  <rowFields count="1">
    <field x="1"/>
  </rowFields>
  <rowItems count="11">
    <i>
      <x v="2"/>
    </i>
    <i>
      <x v="7"/>
    </i>
    <i>
      <x/>
    </i>
    <i>
      <x v="5"/>
    </i>
    <i>
      <x v="4"/>
    </i>
    <i>
      <x v="3"/>
    </i>
    <i>
      <x v="9"/>
    </i>
    <i>
      <x v="8"/>
    </i>
    <i>
      <x v="1"/>
    </i>
    <i>
      <x v="6"/>
    </i>
    <i t="grand">
      <x/>
    </i>
  </rowItems>
  <colFields count="1">
    <field x="-2"/>
  </colFields>
  <colItems count="2">
    <i>
      <x/>
    </i>
    <i i="1">
      <x v="1"/>
    </i>
  </colItems>
  <dataFields count="2">
    <dataField name="Sum of Target Task" fld="12" baseField="0" baseItem="0"/>
    <dataField name="Sum of Tasks Completed" fld="10" baseField="0" baseItem="0"/>
  </dataFields>
  <chartFormats count="2">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8395B4-7105-4192-8F3D-16F11F0E29E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8" firstHeaderRow="1" firstDataRow="1" firstDataCol="1"/>
  <pivotFields count="18">
    <pivotField dataField="1" showAll="0"/>
    <pivotField showAll="0"/>
    <pivotField showAll="0">
      <items count="5">
        <item x="1"/>
        <item x="3"/>
        <item x="0"/>
        <item x="2"/>
        <item t="default"/>
      </items>
    </pivotField>
    <pivotField showAll="0"/>
    <pivotField showAll="0"/>
    <pivotField numFmtId="14" showAll="0"/>
    <pivotField showAll="0">
      <items count="5">
        <item x="0"/>
        <item x="1"/>
        <item x="2"/>
        <item x="3"/>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showAll="0"/>
    <pivotField showAll="0"/>
    <pivotField showAll="0"/>
    <pivotField showAll="0"/>
  </pivotFields>
  <rowFields count="1">
    <field x="7"/>
  </rowFields>
  <rowItems count="5">
    <i>
      <x v="3"/>
    </i>
    <i>
      <x v="2"/>
    </i>
    <i>
      <x v="1"/>
    </i>
    <i>
      <x/>
    </i>
    <i t="grand">
      <x/>
    </i>
  </rowItems>
  <colItems count="1">
    <i/>
  </colItems>
  <dataFields count="1">
    <dataField name="Count of Employee ID" fld="0" subtotal="count" baseField="0" baseItem="0"/>
  </dataFields>
  <chartFormats count="5">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 chart="11" format="12">
      <pivotArea type="data" outline="0" fieldPosition="0">
        <references count="2">
          <reference field="4294967294" count="1" selected="0">
            <x v="0"/>
          </reference>
          <reference field="7" count="1" selected="0">
            <x v="1"/>
          </reference>
        </references>
      </pivotArea>
    </chartFormat>
    <chartFormat chart="11" format="13">
      <pivotArea type="data" outline="0" fieldPosition="0">
        <references count="2">
          <reference field="4294967294" count="1" selected="0">
            <x v="0"/>
          </reference>
          <reference field="7" count="1" selected="0">
            <x v="2"/>
          </reference>
        </references>
      </pivotArea>
    </chartFormat>
    <chartFormat chart="11"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09DEE5F-A939-43D0-80D6-31CA5C70031E}" sourceName="Department ">
  <pivotTables>
    <pivotTable tabId="6" name="PivotTable4"/>
  </pivotTables>
  <data>
    <tabular pivotCacheId="29664503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444537F-4BA8-4955-9488-F5E6897D3938}" sourceName="Location">
  <pivotTables>
    <pivotTable tabId="6" name="PivotTable4"/>
  </pivotTables>
  <data>
    <tabular pivotCacheId="296645033">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2E94BC-E4E7-46B5-A74C-EFB9C862A288}" sourceName="Month">
  <pivotTables>
    <pivotTable tabId="6" name="PivotTable2"/>
    <pivotTable tabId="6" name="PivotTable3"/>
    <pivotTable tabId="6" name="PivotTable4"/>
    <pivotTable tabId="6" name="PivotTable5"/>
  </pivotTables>
  <data>
    <tabular pivotCacheId="296645033">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Status" xr10:uid="{05B65536-1AB3-4953-9C0D-36DFFABE62B8}" sourceName="Attendance Status">
  <pivotTables>
    <pivotTable tabId="6" name="PivotTable2"/>
  </pivotTables>
  <data>
    <tabular pivotCacheId="296645033">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8E775E7-85AB-41E1-AF9C-ECD6E01EEBDC}" cache="Slicer_Department" caption="Department " columnCount="2" rowHeight="241300"/>
  <slicer name="Location" xr10:uid="{0DEDC3B8-0CF6-47B2-B1E2-EF622192E3E7}" cache="Slicer_Location" caption="Location" columnCount="2" rowHeight="241300"/>
  <slicer name="Month" xr10:uid="{333E4EA7-A7DB-4A22-9827-81F5868F0EBC}" cache="Slicer_Month" caption="Month" columnCount="2" rowHeight="241300"/>
  <slicer name="Attendance Status" xr10:uid="{57A61393-D1AD-487F-B3AA-9E071F837355}" cache="Slicer_Attendance_Status" caption="Attendance Status" columnCount="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21BC3-7037-4831-AE85-18DFBAFE04EA}" name="HR_CleanTable" displayName="HR_CleanTable" ref="A1:W101" headerRowDxfId="27">
  <autoFilter ref="A1:W101" xr:uid="{75021BC3-7037-4831-AE85-18DFBAFE04EA}"/>
  <tableColumns count="23">
    <tableColumn id="1" xr3:uid="{07D5AD0C-CE7C-48B8-BBB4-EA348287CB10}" name="Employee ID" totalsRowLabel="Total"/>
    <tableColumn id="2" xr3:uid="{0A686EC9-C16F-4550-953C-360CC161D853}" name="Employee Name "/>
    <tableColumn id="3" xr3:uid="{7C0D57B1-7177-4C87-A16D-0E239B809BBF}" name="Department "/>
    <tableColumn id="4" xr3:uid="{D68BDFFD-F090-4D76-A83E-205F438900A8}" name="Job Role"/>
    <tableColumn id="5" xr3:uid="{68E5F16E-0315-4CDB-97EE-EFE2402CD6F2}" name="Location"/>
    <tableColumn id="6" xr3:uid="{08246E2A-1806-4502-9BD1-16825DB4D632}" name="Date" dataDxfId="26"/>
    <tableColumn id="7" xr3:uid="{B879C3D6-6818-45DE-90A0-6F569F1DCE43}" name="Month">
      <calculatedColumnFormula>TEXT(F2,"mmmm")</calculatedColumnFormula>
    </tableColumn>
    <tableColumn id="8" xr3:uid="{66832EF4-EF21-47EC-B124-D6CCC4C5CA3E}" name="Attendance Status"/>
    <tableColumn id="9" xr3:uid="{D3309B74-1007-4CD1-A44E-80574A533B30}" name="Working Hours "/>
    <tableColumn id="10" xr3:uid="{83879CFB-A0C6-4261-AEA0-CA86E6B3A701}" name="Overtime Hours"/>
    <tableColumn id="11" xr3:uid="{73BB6F64-4756-43E7-A0EA-D218D87A1084}" name="Tasks Completed"/>
    <tableColumn id="12" xr3:uid="{EFA3F96A-47B1-4CC8-8B48-14E419BA64AB}" name="Performance Score"/>
    <tableColumn id="13" xr3:uid="{619DA326-96B5-4B4F-ADA0-51E37281578F}" name="Target Task"/>
    <tableColumn id="14" xr3:uid="{353A1402-55C6-4B6C-B09A-60C1982402BC}" name="Achievement %" dataDxfId="25" totalsRowDxfId="24" dataCellStyle="Percent">
      <calculatedColumnFormula>K2/M2</calculatedColumnFormula>
    </tableColumn>
    <tableColumn id="15" xr3:uid="{07ED08E8-5072-49C0-8C12-5E5A490E3EFE}" name="Salary"/>
    <tableColumn id="16" xr3:uid="{FA7A9535-3FDC-4260-8B09-ABD95F992EAD}" name="Bonus Eligibility">
      <calculatedColumnFormula>IF(N2&gt;=90%,"Yes","No")</calculatedColumnFormula>
    </tableColumn>
    <tableColumn id="17" xr3:uid="{7491A9D0-F6B2-4AF4-88A1-9DE02D484FDA}" name="Manager Rating"/>
    <tableColumn id="18" xr3:uid="{B8AE737A-B89D-4F9E-A39C-F647E13D583C}" name="Remarks" totalsRowFunction="count"/>
    <tableColumn id="19" xr3:uid="{81318867-731D-48CD-B22D-64E8A6718BF7}" name="Clean Employee Name" dataDxfId="23">
      <calculatedColumnFormula>PROPER(B2)</calculatedColumnFormula>
    </tableColumn>
    <tableColumn id="20" xr3:uid="{B6C58D88-CD72-4319-B370-F898B3F8B8F7}" name="Clean Department" dataDxfId="22">
      <calculatedColumnFormula>UPPER(C2)</calculatedColumnFormula>
    </tableColumn>
    <tableColumn id="21" xr3:uid="{11774BFB-4828-4604-8B49-3FCD96B419AD}" name="Clean Attendance" dataDxfId="21">
      <calculatedColumnFormula>PROPER(H2)</calculatedColumnFormula>
    </tableColumn>
    <tableColumn id="22" xr3:uid="{8A45BFBD-6B0D-4F80-BBEF-E92D0D80E415}" name="Safe Achievement %" dataCellStyle="Percent">
      <calculatedColumnFormula>IFERROR(N2,0)</calculatedColumnFormula>
    </tableColumn>
    <tableColumn id="23" xr3:uid="{5A5F7099-BEC0-484E-9C81-BEFA92EDBFC2}" name="Data Status" dataDxfId="20">
      <calculatedColumnFormula>IF(OR(A2="",B2="",C2=""),"Incomplete","OK")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653D10-6F73-490C-A94E-154F5974C211}" name="Performance_Sheet" displayName="Performance_Sheet" ref="A1:O101" totalsRowShown="0" headerRowDxfId="19">
  <autoFilter ref="A1:O101" xr:uid="{CC653D10-6F73-490C-A94E-154F5974C211}"/>
  <tableColumns count="15">
    <tableColumn id="1" xr3:uid="{CAB2AB14-9D14-471D-AC68-D317082F763E}" name="Employee ID">
      <calculatedColumnFormula>HR_CleanTable[[#This Row],[Employee ID]]</calculatedColumnFormula>
    </tableColumn>
    <tableColumn id="2" xr3:uid="{A4541E3A-B793-4C9C-B213-5B60D94D96D4}" name="Employee Name">
      <calculatedColumnFormula>HR_CleanTable[[#This Row],[Clean Employee Name]]</calculatedColumnFormula>
    </tableColumn>
    <tableColumn id="3" xr3:uid="{984DB6E3-843A-4963-BA03-9C683D3F46ED}" name="Department" dataDxfId="18">
      <calculatedColumnFormula>HR_CleanTable[[#This Row],[Clean Department]]</calculatedColumnFormula>
    </tableColumn>
    <tableColumn id="4" xr3:uid="{913E76A9-6AA6-425A-97BE-BB7C3C823E1B}" name="Month" dataDxfId="17">
      <calculatedColumnFormula>HR_CleanTable[[#This Row],[Month]]</calculatedColumnFormula>
    </tableColumn>
    <tableColumn id="5" xr3:uid="{1CE22636-80F4-4BB6-81A2-140B4BE4152A}" name="Working Hours" dataDxfId="16">
      <calculatedColumnFormula>HR_CleanTable[[#This Row],[Working Hours ]]</calculatedColumnFormula>
    </tableColumn>
    <tableColumn id="6" xr3:uid="{F2783CD4-B19C-4E4E-A810-0269987A0360}" name="Overtime Hours" dataDxfId="15">
      <calculatedColumnFormula>HR_CleanTable[[#This Row],[Overtime Hours]]</calculatedColumnFormula>
    </tableColumn>
    <tableColumn id="7" xr3:uid="{C04FB509-518A-4D61-87B0-B845483A507C}" name="Tasks Completed" dataDxfId="14">
      <calculatedColumnFormula>HR_CleanTable[[#This Row],[Tasks Completed]]</calculatedColumnFormula>
    </tableColumn>
    <tableColumn id="8" xr3:uid="{72D82BE5-A16F-4E76-916B-3D29521A7085}" name="Target Tasks" dataDxfId="13">
      <calculatedColumnFormula>HR_CleanTable[[#This Row],[Target Task]]</calculatedColumnFormula>
    </tableColumn>
    <tableColumn id="9" xr3:uid="{054427CD-41B1-42F1-AE7F-A561BCBE40A8}" name="Performance Score" dataDxfId="12">
      <calculatedColumnFormula>HR_CleanTable[[#This Row],[Performance Score]]</calculatedColumnFormula>
    </tableColumn>
    <tableColumn id="10" xr3:uid="{4267199F-DA04-4890-8339-CC82F017CDEF}" name="Attendance Status" dataDxfId="11">
      <calculatedColumnFormula>HR_CleanTable[[#This Row],[Attendance Status]]</calculatedColumnFormula>
    </tableColumn>
    <tableColumn id="11" xr3:uid="{273C8329-A964-4816-B9AD-5301C41E5747}" name="Achievement %" dataDxfId="4" dataCellStyle="Percent">
      <calculatedColumnFormula>IFERROR(G2/Performance_Sheet[[#This Row],[Target Tasks]],0)</calculatedColumnFormula>
    </tableColumn>
    <tableColumn id="12" xr3:uid="{8B867CDD-2F7F-4289-BA37-63EB11493722}" name="Attendance Score" dataDxfId="10">
      <calculatedColumnFormula>IF(J2="Present",1,0)</calculatedColumnFormula>
    </tableColumn>
    <tableColumn id="13" xr3:uid="{E69C7540-2A21-414D-904E-EC4A536FD376}" name="Performance Category" dataDxfId="9">
      <calculatedColumnFormula>IF(I2&gt;=8,"High Performer",IF(I2&gt;=5,"Medium Performer","Low Performer"))</calculatedColumnFormula>
    </tableColumn>
    <tableColumn id="14" xr3:uid="{747A553A-C521-4131-A544-6769065BDF02}" name="Productivity Score" dataDxfId="8">
      <calculatedColumnFormula>(I2*0.6)+(L2*0.4)</calculatedColumnFormula>
    </tableColumn>
    <tableColumn id="15" xr3:uid="{E7228F79-8749-4868-878D-99D3709CBAC6}" name="Bonus Eligibility" dataDxfId="7">
      <calculatedColumnFormula>IF(AND(I2&gt;=7,L2=1),"Eligible","Not Eligible")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F24BC-F8A1-47D9-97F5-CAD420E0FF9A}" name="Table2" displayName="Table2" ref="A1:B16" totalsRowShown="0" headerRowBorderDxfId="0" tableBorderDxfId="1">
  <autoFilter ref="A1:B16" xr:uid="{BC1F24BC-F8A1-47D9-97F5-CAD420E0FF9A}"/>
  <tableColumns count="2">
    <tableColumn id="1" xr3:uid="{C51F98B5-29ED-49A3-93A5-7D838022B0F1}" name="KPI"/>
    <tableColumn id="2" xr3:uid="{48A1FB12-5D92-456C-B10E-C36430893D0C}" name="VALUES"/>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C4A5E-7E00-4B01-A81E-4177171A6A18}">
  <dimension ref="A1:R101"/>
  <sheetViews>
    <sheetView zoomScale="90" zoomScaleNormal="90" workbookViewId="0">
      <selection activeCell="W12" sqref="W12"/>
    </sheetView>
  </sheetViews>
  <sheetFormatPr defaultRowHeight="13.8" x14ac:dyDescent="0.25"/>
  <cols>
    <col min="1" max="1" width="14.3984375" customWidth="1"/>
    <col min="2" max="2" width="18.3984375" customWidth="1"/>
    <col min="3" max="3" width="15" customWidth="1"/>
    <col min="4" max="4" width="11.09765625" customWidth="1"/>
    <col min="5" max="5" width="12.09765625" customWidth="1"/>
    <col min="6" max="6" width="13.796875" customWidth="1"/>
    <col min="7" max="7" width="13.5" customWidth="1"/>
    <col min="8" max="8" width="42.69921875" customWidth="1"/>
    <col min="9" max="9" width="16.69921875" customWidth="1"/>
    <col min="10" max="10" width="18.5" customWidth="1"/>
    <col min="11" max="11" width="18.09765625" customWidth="1"/>
    <col min="12" max="12" width="20.796875" customWidth="1"/>
    <col min="13" max="13" width="19.59765625" customWidth="1"/>
    <col min="14" max="14" width="14.09765625" customWidth="1"/>
    <col min="15" max="15" width="12.5" customWidth="1"/>
    <col min="16" max="16" width="15.59765625" customWidth="1"/>
    <col min="17" max="17" width="16.59765625" customWidth="1"/>
    <col min="18" max="18" width="8.69921875" customWidth="1"/>
  </cols>
  <sheetData>
    <row r="1" spans="1:18" x14ac:dyDescent="0.25">
      <c r="A1" s="1" t="s">
        <v>138</v>
      </c>
      <c r="B1" s="1" t="s">
        <v>139</v>
      </c>
      <c r="C1" s="1" t="s">
        <v>140</v>
      </c>
      <c r="D1" s="1" t="s">
        <v>141</v>
      </c>
      <c r="E1" s="1" t="s">
        <v>1</v>
      </c>
      <c r="F1" s="3" t="s">
        <v>2</v>
      </c>
      <c r="G1" s="1" t="s">
        <v>3</v>
      </c>
      <c r="H1" s="1" t="s">
        <v>142</v>
      </c>
      <c r="I1" s="1" t="s">
        <v>143</v>
      </c>
      <c r="J1" s="1" t="s">
        <v>144</v>
      </c>
      <c r="K1" s="1" t="s">
        <v>145</v>
      </c>
      <c r="L1" s="1" t="s">
        <v>146</v>
      </c>
      <c r="M1" s="1" t="s">
        <v>147</v>
      </c>
      <c r="N1" s="1" t="s">
        <v>148</v>
      </c>
      <c r="O1" s="1" t="s">
        <v>4</v>
      </c>
      <c r="P1" s="1" t="s">
        <v>149</v>
      </c>
      <c r="Q1" s="1" t="s">
        <v>150</v>
      </c>
      <c r="R1" s="1" t="s">
        <v>5</v>
      </c>
    </row>
    <row r="2" spans="1:18" x14ac:dyDescent="0.25">
      <c r="A2" t="s">
        <v>6</v>
      </c>
      <c r="B2" t="s">
        <v>7</v>
      </c>
      <c r="C2" t="s">
        <v>8</v>
      </c>
      <c r="D2" t="s">
        <v>9</v>
      </c>
      <c r="E2" t="s">
        <v>10</v>
      </c>
      <c r="F2" s="2">
        <v>45675</v>
      </c>
      <c r="G2" t="str">
        <f>TEXT(F2,"mmmm")</f>
        <v>January</v>
      </c>
      <c r="H2" t="s">
        <v>11</v>
      </c>
      <c r="I2">
        <v>8</v>
      </c>
      <c r="J2">
        <v>0</v>
      </c>
      <c r="K2">
        <v>10</v>
      </c>
      <c r="L2">
        <v>6</v>
      </c>
      <c r="M2">
        <v>17</v>
      </c>
      <c r="N2" s="4">
        <f>K2/M2</f>
        <v>0.58823529411764708</v>
      </c>
      <c r="O2">
        <v>29441</v>
      </c>
      <c r="P2" t="str">
        <f>IF(N2&gt;=90%,"Yes","No")</f>
        <v>No</v>
      </c>
      <c r="Q2">
        <v>6</v>
      </c>
      <c r="R2" t="s">
        <v>17</v>
      </c>
    </row>
    <row r="3" spans="1:18" x14ac:dyDescent="0.25">
      <c r="A3" t="s">
        <v>13</v>
      </c>
      <c r="B3" t="s">
        <v>14</v>
      </c>
      <c r="C3" t="s">
        <v>15</v>
      </c>
      <c r="D3" t="s">
        <v>16</v>
      </c>
      <c r="E3" t="s">
        <v>10</v>
      </c>
      <c r="F3" s="2">
        <v>45676</v>
      </c>
      <c r="G3" t="str">
        <f t="shared" ref="G3:G66" si="0">TEXT(F3,"mmmm")</f>
        <v>January</v>
      </c>
      <c r="H3" t="s">
        <v>11</v>
      </c>
      <c r="I3">
        <v>8</v>
      </c>
      <c r="J3">
        <v>0</v>
      </c>
      <c r="K3">
        <v>20</v>
      </c>
      <c r="L3">
        <v>7</v>
      </c>
      <c r="M3">
        <v>10</v>
      </c>
      <c r="N3" s="4">
        <f t="shared" ref="N3:N66" si="1">K3/M3</f>
        <v>2</v>
      </c>
      <c r="O3">
        <v>47125</v>
      </c>
      <c r="P3" t="str">
        <f t="shared" ref="P3:P66" si="2">IF(N3&gt;=90%,"Yes","No")</f>
        <v>Yes</v>
      </c>
      <c r="Q3">
        <v>7</v>
      </c>
      <c r="R3" t="s">
        <v>17</v>
      </c>
    </row>
    <row r="4" spans="1:18" x14ac:dyDescent="0.25">
      <c r="A4" t="s">
        <v>18</v>
      </c>
      <c r="B4" t="s">
        <v>19</v>
      </c>
      <c r="C4" t="s">
        <v>20</v>
      </c>
      <c r="D4" t="s">
        <v>9</v>
      </c>
      <c r="E4" t="s">
        <v>21</v>
      </c>
      <c r="F4" s="2">
        <v>45677</v>
      </c>
      <c r="G4" t="str">
        <f t="shared" si="0"/>
        <v>January</v>
      </c>
      <c r="H4" t="s">
        <v>22</v>
      </c>
      <c r="I4">
        <v>8</v>
      </c>
      <c r="J4">
        <v>1</v>
      </c>
      <c r="K4">
        <v>19</v>
      </c>
      <c r="L4">
        <v>9</v>
      </c>
      <c r="M4">
        <v>18</v>
      </c>
      <c r="N4" s="4">
        <f t="shared" si="1"/>
        <v>1.0555555555555556</v>
      </c>
      <c r="O4">
        <v>40946</v>
      </c>
      <c r="P4" t="str">
        <f t="shared" si="2"/>
        <v>Yes</v>
      </c>
      <c r="Q4">
        <v>9</v>
      </c>
      <c r="R4" t="s">
        <v>12</v>
      </c>
    </row>
    <row r="5" spans="1:18" x14ac:dyDescent="0.25">
      <c r="A5" t="s">
        <v>24</v>
      </c>
      <c r="B5" t="s">
        <v>25</v>
      </c>
      <c r="C5" t="s">
        <v>15</v>
      </c>
      <c r="D5" t="s">
        <v>16</v>
      </c>
      <c r="E5" t="s">
        <v>21</v>
      </c>
      <c r="F5" s="2">
        <v>45678</v>
      </c>
      <c r="G5" t="str">
        <f t="shared" si="0"/>
        <v>January</v>
      </c>
      <c r="H5" t="s">
        <v>22</v>
      </c>
      <c r="I5">
        <v>8</v>
      </c>
      <c r="J5">
        <v>3</v>
      </c>
      <c r="K5">
        <v>16</v>
      </c>
      <c r="L5">
        <v>10</v>
      </c>
      <c r="M5">
        <v>12</v>
      </c>
      <c r="N5" s="4">
        <f t="shared" si="1"/>
        <v>1.3333333333333333</v>
      </c>
      <c r="O5">
        <v>46961</v>
      </c>
      <c r="P5" t="str">
        <f t="shared" si="2"/>
        <v>Yes</v>
      </c>
      <c r="Q5">
        <v>10</v>
      </c>
      <c r="R5" t="s">
        <v>12</v>
      </c>
    </row>
    <row r="6" spans="1:18" x14ac:dyDescent="0.25">
      <c r="A6" t="s">
        <v>27</v>
      </c>
      <c r="B6" t="s">
        <v>28</v>
      </c>
      <c r="C6" t="s">
        <v>29</v>
      </c>
      <c r="D6" t="s">
        <v>16</v>
      </c>
      <c r="E6" t="s">
        <v>10</v>
      </c>
      <c r="F6" s="2">
        <v>45679</v>
      </c>
      <c r="G6" t="str">
        <f t="shared" si="0"/>
        <v>January</v>
      </c>
      <c r="H6" t="s">
        <v>30</v>
      </c>
      <c r="I6">
        <v>0</v>
      </c>
      <c r="J6">
        <v>0</v>
      </c>
      <c r="K6">
        <v>0</v>
      </c>
      <c r="L6">
        <v>9</v>
      </c>
      <c r="M6">
        <v>18</v>
      </c>
      <c r="N6" s="4">
        <f t="shared" si="1"/>
        <v>0</v>
      </c>
      <c r="O6">
        <v>43198</v>
      </c>
      <c r="P6" t="str">
        <f t="shared" si="2"/>
        <v>No</v>
      </c>
      <c r="Q6">
        <v>9</v>
      </c>
      <c r="R6" t="s">
        <v>12</v>
      </c>
    </row>
    <row r="7" spans="1:18" x14ac:dyDescent="0.25">
      <c r="A7" t="s">
        <v>31</v>
      </c>
      <c r="B7" t="s">
        <v>32</v>
      </c>
      <c r="C7" t="s">
        <v>8</v>
      </c>
      <c r="D7" t="s">
        <v>33</v>
      </c>
      <c r="E7" t="s">
        <v>34</v>
      </c>
      <c r="F7" s="2">
        <v>45680</v>
      </c>
      <c r="G7" t="str">
        <f t="shared" si="0"/>
        <v>January</v>
      </c>
      <c r="H7" t="s">
        <v>11</v>
      </c>
      <c r="I7">
        <v>8</v>
      </c>
      <c r="J7">
        <v>0</v>
      </c>
      <c r="K7">
        <v>9</v>
      </c>
      <c r="L7">
        <v>5</v>
      </c>
      <c r="M7">
        <v>17</v>
      </c>
      <c r="N7" s="4">
        <f t="shared" si="1"/>
        <v>0.52941176470588236</v>
      </c>
      <c r="O7">
        <v>37630</v>
      </c>
      <c r="P7" t="str">
        <f t="shared" si="2"/>
        <v>No</v>
      </c>
      <c r="Q7">
        <v>5</v>
      </c>
      <c r="R7" t="s">
        <v>26</v>
      </c>
    </row>
    <row r="8" spans="1:18" x14ac:dyDescent="0.25">
      <c r="A8" t="s">
        <v>35</v>
      </c>
      <c r="B8" t="s">
        <v>36</v>
      </c>
      <c r="C8" t="s">
        <v>29</v>
      </c>
      <c r="D8" t="s">
        <v>37</v>
      </c>
      <c r="E8" t="s">
        <v>10</v>
      </c>
      <c r="F8" s="2">
        <v>45681</v>
      </c>
      <c r="G8" t="str">
        <f t="shared" si="0"/>
        <v>January</v>
      </c>
      <c r="H8" t="s">
        <v>22</v>
      </c>
      <c r="I8">
        <v>8</v>
      </c>
      <c r="J8">
        <v>0</v>
      </c>
      <c r="K8">
        <v>19</v>
      </c>
      <c r="L8">
        <v>8</v>
      </c>
      <c r="M8">
        <v>12</v>
      </c>
      <c r="N8" s="4">
        <f t="shared" si="1"/>
        <v>1.5833333333333333</v>
      </c>
      <c r="O8">
        <v>34811</v>
      </c>
      <c r="P8" t="str">
        <f t="shared" si="2"/>
        <v>Yes</v>
      </c>
      <c r="Q8">
        <v>8</v>
      </c>
      <c r="R8" t="s">
        <v>12</v>
      </c>
    </row>
    <row r="9" spans="1:18" x14ac:dyDescent="0.25">
      <c r="A9" t="s">
        <v>38</v>
      </c>
      <c r="B9" t="s">
        <v>39</v>
      </c>
      <c r="C9" t="s">
        <v>29</v>
      </c>
      <c r="D9" t="s">
        <v>37</v>
      </c>
      <c r="E9" t="s">
        <v>10</v>
      </c>
      <c r="F9" s="2">
        <v>45682</v>
      </c>
      <c r="G9" t="str">
        <f t="shared" si="0"/>
        <v>January</v>
      </c>
      <c r="H9" t="s">
        <v>40</v>
      </c>
      <c r="I9">
        <v>0</v>
      </c>
      <c r="J9">
        <v>0</v>
      </c>
      <c r="K9">
        <v>0</v>
      </c>
      <c r="L9">
        <v>3</v>
      </c>
      <c r="M9">
        <v>19</v>
      </c>
      <c r="N9" s="4">
        <f t="shared" si="1"/>
        <v>0</v>
      </c>
      <c r="O9">
        <v>29906</v>
      </c>
      <c r="P9" t="str">
        <f t="shared" si="2"/>
        <v>No</v>
      </c>
      <c r="Q9">
        <v>3</v>
      </c>
      <c r="R9" t="s">
        <v>23</v>
      </c>
    </row>
    <row r="10" spans="1:18" x14ac:dyDescent="0.25">
      <c r="A10" t="s">
        <v>41</v>
      </c>
      <c r="B10" t="s">
        <v>25</v>
      </c>
      <c r="C10" t="s">
        <v>20</v>
      </c>
      <c r="D10" t="s">
        <v>33</v>
      </c>
      <c r="E10" t="s">
        <v>42</v>
      </c>
      <c r="F10" s="2">
        <v>45683</v>
      </c>
      <c r="G10" t="str">
        <f t="shared" si="0"/>
        <v>January</v>
      </c>
      <c r="H10" t="s">
        <v>11</v>
      </c>
      <c r="I10">
        <v>8</v>
      </c>
      <c r="J10">
        <v>0</v>
      </c>
      <c r="K10">
        <v>18</v>
      </c>
      <c r="L10">
        <v>10</v>
      </c>
      <c r="M10">
        <v>17</v>
      </c>
      <c r="N10" s="4">
        <f t="shared" si="1"/>
        <v>1.0588235294117647</v>
      </c>
      <c r="O10">
        <v>31831</v>
      </c>
      <c r="P10" t="str">
        <f t="shared" si="2"/>
        <v>Yes</v>
      </c>
      <c r="Q10">
        <v>10</v>
      </c>
      <c r="R10" t="s">
        <v>12</v>
      </c>
    </row>
    <row r="11" spans="1:18" x14ac:dyDescent="0.25">
      <c r="A11" t="s">
        <v>43</v>
      </c>
      <c r="B11" t="s">
        <v>44</v>
      </c>
      <c r="C11" t="s">
        <v>29</v>
      </c>
      <c r="D11" t="s">
        <v>45</v>
      </c>
      <c r="E11" t="s">
        <v>10</v>
      </c>
      <c r="F11" s="2">
        <v>45684</v>
      </c>
      <c r="G11" t="str">
        <f t="shared" si="0"/>
        <v>January</v>
      </c>
      <c r="H11" t="s">
        <v>22</v>
      </c>
      <c r="I11">
        <v>8</v>
      </c>
      <c r="J11">
        <v>1</v>
      </c>
      <c r="K11">
        <v>15</v>
      </c>
      <c r="L11">
        <v>4</v>
      </c>
      <c r="M11">
        <v>11</v>
      </c>
      <c r="N11" s="4">
        <f t="shared" si="1"/>
        <v>1.3636363636363635</v>
      </c>
      <c r="O11">
        <v>36770</v>
      </c>
      <c r="P11" t="str">
        <f t="shared" si="2"/>
        <v>Yes</v>
      </c>
      <c r="Q11">
        <v>4</v>
      </c>
      <c r="R11" t="s">
        <v>26</v>
      </c>
    </row>
    <row r="12" spans="1:18" x14ac:dyDescent="0.25">
      <c r="A12" t="s">
        <v>46</v>
      </c>
      <c r="B12" t="s">
        <v>44</v>
      </c>
      <c r="C12" t="s">
        <v>29</v>
      </c>
      <c r="D12" t="s">
        <v>33</v>
      </c>
      <c r="E12" t="s">
        <v>42</v>
      </c>
      <c r="F12" s="2">
        <v>45685</v>
      </c>
      <c r="G12" t="str">
        <f t="shared" si="0"/>
        <v>January</v>
      </c>
      <c r="H12" t="s">
        <v>11</v>
      </c>
      <c r="I12">
        <v>8</v>
      </c>
      <c r="J12">
        <v>0</v>
      </c>
      <c r="K12">
        <v>18</v>
      </c>
      <c r="L12">
        <v>5</v>
      </c>
      <c r="M12">
        <v>10</v>
      </c>
      <c r="N12" s="4">
        <f t="shared" si="1"/>
        <v>1.8</v>
      </c>
      <c r="O12">
        <v>32412</v>
      </c>
      <c r="P12" t="str">
        <f t="shared" si="2"/>
        <v>Yes</v>
      </c>
      <c r="Q12">
        <v>5</v>
      </c>
      <c r="R12" t="s">
        <v>17</v>
      </c>
    </row>
    <row r="13" spans="1:18" x14ac:dyDescent="0.25">
      <c r="A13" t="s">
        <v>47</v>
      </c>
      <c r="B13" t="s">
        <v>39</v>
      </c>
      <c r="C13" t="s">
        <v>20</v>
      </c>
      <c r="D13" t="s">
        <v>45</v>
      </c>
      <c r="E13" t="s">
        <v>34</v>
      </c>
      <c r="F13" s="2">
        <v>45686</v>
      </c>
      <c r="G13" t="str">
        <f t="shared" si="0"/>
        <v>January</v>
      </c>
      <c r="H13" t="s">
        <v>30</v>
      </c>
      <c r="I13">
        <v>0</v>
      </c>
      <c r="J13">
        <v>0</v>
      </c>
      <c r="K13">
        <v>0</v>
      </c>
      <c r="L13">
        <v>8</v>
      </c>
      <c r="M13">
        <v>12</v>
      </c>
      <c r="N13" s="4">
        <f t="shared" si="1"/>
        <v>0</v>
      </c>
      <c r="O13">
        <v>42165</v>
      </c>
      <c r="P13" t="str">
        <f t="shared" si="2"/>
        <v>No</v>
      </c>
      <c r="Q13">
        <v>8</v>
      </c>
      <c r="R13" t="s">
        <v>12</v>
      </c>
    </row>
    <row r="14" spans="1:18" x14ac:dyDescent="0.25">
      <c r="A14" t="s">
        <v>48</v>
      </c>
      <c r="B14" t="s">
        <v>14</v>
      </c>
      <c r="C14" t="s">
        <v>20</v>
      </c>
      <c r="D14" t="s">
        <v>49</v>
      </c>
      <c r="E14" t="s">
        <v>34</v>
      </c>
      <c r="F14" s="2">
        <v>45687</v>
      </c>
      <c r="G14" t="str">
        <f t="shared" si="0"/>
        <v>January</v>
      </c>
      <c r="H14" t="s">
        <v>40</v>
      </c>
      <c r="I14">
        <v>0</v>
      </c>
      <c r="J14">
        <v>0</v>
      </c>
      <c r="K14">
        <v>0</v>
      </c>
      <c r="L14">
        <v>8</v>
      </c>
      <c r="M14">
        <v>11</v>
      </c>
      <c r="N14" s="4">
        <f t="shared" si="1"/>
        <v>0</v>
      </c>
      <c r="O14">
        <v>29872</v>
      </c>
      <c r="P14" t="str">
        <f t="shared" si="2"/>
        <v>No</v>
      </c>
      <c r="Q14">
        <v>8</v>
      </c>
      <c r="R14" t="s">
        <v>12</v>
      </c>
    </row>
    <row r="15" spans="1:18" x14ac:dyDescent="0.25">
      <c r="A15" t="s">
        <v>50</v>
      </c>
      <c r="B15" t="s">
        <v>19</v>
      </c>
      <c r="C15" t="s">
        <v>29</v>
      </c>
      <c r="D15" t="s">
        <v>33</v>
      </c>
      <c r="E15" t="s">
        <v>21</v>
      </c>
      <c r="F15" s="2">
        <v>45688</v>
      </c>
      <c r="G15" t="str">
        <f t="shared" si="0"/>
        <v>January</v>
      </c>
      <c r="H15" t="s">
        <v>22</v>
      </c>
      <c r="I15">
        <v>8</v>
      </c>
      <c r="J15">
        <v>1</v>
      </c>
      <c r="K15">
        <v>20</v>
      </c>
      <c r="L15">
        <v>6</v>
      </c>
      <c r="M15">
        <v>17</v>
      </c>
      <c r="N15" s="4">
        <f t="shared" si="1"/>
        <v>1.1764705882352942</v>
      </c>
      <c r="O15">
        <v>31911</v>
      </c>
      <c r="P15" t="str">
        <f t="shared" si="2"/>
        <v>Yes</v>
      </c>
      <c r="Q15">
        <v>6</v>
      </c>
      <c r="R15" t="s">
        <v>17</v>
      </c>
    </row>
    <row r="16" spans="1:18" x14ac:dyDescent="0.25">
      <c r="A16" t="s">
        <v>51</v>
      </c>
      <c r="B16" t="s">
        <v>28</v>
      </c>
      <c r="C16" t="s">
        <v>20</v>
      </c>
      <c r="D16" t="s">
        <v>9</v>
      </c>
      <c r="E16" t="s">
        <v>21</v>
      </c>
      <c r="F16" s="2">
        <v>45689</v>
      </c>
      <c r="G16" t="str">
        <f t="shared" si="0"/>
        <v>February</v>
      </c>
      <c r="H16" t="s">
        <v>11</v>
      </c>
      <c r="I16">
        <v>8</v>
      </c>
      <c r="J16">
        <v>0</v>
      </c>
      <c r="K16">
        <v>13</v>
      </c>
      <c r="L16">
        <v>9</v>
      </c>
      <c r="M16">
        <v>13</v>
      </c>
      <c r="N16" s="4">
        <f t="shared" si="1"/>
        <v>1</v>
      </c>
      <c r="O16">
        <v>45875</v>
      </c>
      <c r="P16" t="str">
        <f t="shared" si="2"/>
        <v>Yes</v>
      </c>
      <c r="Q16">
        <v>9</v>
      </c>
      <c r="R16" t="s">
        <v>12</v>
      </c>
    </row>
    <row r="17" spans="1:18" x14ac:dyDescent="0.25">
      <c r="A17" t="s">
        <v>52</v>
      </c>
      <c r="B17" t="s">
        <v>36</v>
      </c>
      <c r="C17" t="s">
        <v>29</v>
      </c>
      <c r="D17" t="s">
        <v>49</v>
      </c>
      <c r="E17" t="s">
        <v>42</v>
      </c>
      <c r="F17" s="2">
        <v>45690</v>
      </c>
      <c r="G17" t="str">
        <f t="shared" si="0"/>
        <v>February</v>
      </c>
      <c r="H17" t="s">
        <v>40</v>
      </c>
      <c r="I17">
        <v>0</v>
      </c>
      <c r="J17">
        <v>0</v>
      </c>
      <c r="K17">
        <v>0</v>
      </c>
      <c r="L17">
        <v>4</v>
      </c>
      <c r="M17">
        <v>19</v>
      </c>
      <c r="N17" s="4">
        <f t="shared" si="1"/>
        <v>0</v>
      </c>
      <c r="O17">
        <v>31629</v>
      </c>
      <c r="P17" t="str">
        <f t="shared" si="2"/>
        <v>No</v>
      </c>
      <c r="Q17">
        <v>4</v>
      </c>
      <c r="R17" t="s">
        <v>26</v>
      </c>
    </row>
    <row r="18" spans="1:18" x14ac:dyDescent="0.25">
      <c r="A18" t="s">
        <v>53</v>
      </c>
      <c r="B18" t="s">
        <v>7</v>
      </c>
      <c r="C18" t="s">
        <v>29</v>
      </c>
      <c r="D18" t="s">
        <v>37</v>
      </c>
      <c r="E18" t="s">
        <v>42</v>
      </c>
      <c r="F18" s="2">
        <v>45691</v>
      </c>
      <c r="G18" t="str">
        <f t="shared" si="0"/>
        <v>February</v>
      </c>
      <c r="H18" t="s">
        <v>40</v>
      </c>
      <c r="I18">
        <v>0</v>
      </c>
      <c r="J18">
        <v>0</v>
      </c>
      <c r="K18">
        <v>0</v>
      </c>
      <c r="L18">
        <v>6</v>
      </c>
      <c r="M18">
        <v>15</v>
      </c>
      <c r="N18" s="4">
        <f t="shared" si="1"/>
        <v>0</v>
      </c>
      <c r="O18">
        <v>49294</v>
      </c>
      <c r="P18" t="str">
        <f t="shared" si="2"/>
        <v>No</v>
      </c>
      <c r="Q18">
        <v>6</v>
      </c>
      <c r="R18" t="s">
        <v>17</v>
      </c>
    </row>
    <row r="19" spans="1:18" x14ac:dyDescent="0.25">
      <c r="A19" t="s">
        <v>54</v>
      </c>
      <c r="B19" t="s">
        <v>32</v>
      </c>
      <c r="C19" t="s">
        <v>8</v>
      </c>
      <c r="D19" t="s">
        <v>45</v>
      </c>
      <c r="E19" t="s">
        <v>42</v>
      </c>
      <c r="F19" s="2">
        <v>45692</v>
      </c>
      <c r="G19" t="str">
        <f t="shared" si="0"/>
        <v>February</v>
      </c>
      <c r="H19" t="s">
        <v>30</v>
      </c>
      <c r="I19">
        <v>0</v>
      </c>
      <c r="J19">
        <v>0</v>
      </c>
      <c r="K19">
        <v>0</v>
      </c>
      <c r="L19">
        <v>4</v>
      </c>
      <c r="M19">
        <v>18</v>
      </c>
      <c r="N19" s="4">
        <f t="shared" si="1"/>
        <v>0</v>
      </c>
      <c r="O19">
        <v>42866</v>
      </c>
      <c r="P19" t="str">
        <f t="shared" si="2"/>
        <v>No</v>
      </c>
      <c r="Q19">
        <v>4</v>
      </c>
      <c r="R19" t="s">
        <v>26</v>
      </c>
    </row>
    <row r="20" spans="1:18" x14ac:dyDescent="0.25">
      <c r="A20" t="s">
        <v>55</v>
      </c>
      <c r="B20" t="s">
        <v>36</v>
      </c>
      <c r="C20" t="s">
        <v>29</v>
      </c>
      <c r="D20" t="s">
        <v>49</v>
      </c>
      <c r="E20" t="s">
        <v>21</v>
      </c>
      <c r="F20" s="2">
        <v>45693</v>
      </c>
      <c r="G20" t="str">
        <f t="shared" si="0"/>
        <v>February</v>
      </c>
      <c r="H20" t="s">
        <v>11</v>
      </c>
      <c r="I20">
        <v>8</v>
      </c>
      <c r="J20">
        <v>0</v>
      </c>
      <c r="K20">
        <v>17</v>
      </c>
      <c r="L20">
        <v>6</v>
      </c>
      <c r="M20">
        <v>10</v>
      </c>
      <c r="N20" s="4">
        <f t="shared" si="1"/>
        <v>1.7</v>
      </c>
      <c r="O20">
        <v>42130</v>
      </c>
      <c r="P20" t="str">
        <f t="shared" si="2"/>
        <v>Yes</v>
      </c>
      <c r="Q20">
        <v>6</v>
      </c>
      <c r="R20" t="s">
        <v>17</v>
      </c>
    </row>
    <row r="21" spans="1:18" x14ac:dyDescent="0.25">
      <c r="A21" t="s">
        <v>56</v>
      </c>
      <c r="B21" t="s">
        <v>36</v>
      </c>
      <c r="C21" t="s">
        <v>20</v>
      </c>
      <c r="D21" t="s">
        <v>9</v>
      </c>
      <c r="E21" t="s">
        <v>21</v>
      </c>
      <c r="F21" s="2">
        <v>45694</v>
      </c>
      <c r="G21" t="str">
        <f t="shared" si="0"/>
        <v>February</v>
      </c>
      <c r="H21" t="s">
        <v>22</v>
      </c>
      <c r="I21">
        <v>8</v>
      </c>
      <c r="J21">
        <v>2</v>
      </c>
      <c r="K21">
        <v>6</v>
      </c>
      <c r="L21">
        <v>9</v>
      </c>
      <c r="M21">
        <v>13</v>
      </c>
      <c r="N21" s="4">
        <f t="shared" si="1"/>
        <v>0.46153846153846156</v>
      </c>
      <c r="O21">
        <v>33563</v>
      </c>
      <c r="P21" t="str">
        <f t="shared" si="2"/>
        <v>No</v>
      </c>
      <c r="Q21">
        <v>9</v>
      </c>
      <c r="R21" t="s">
        <v>12</v>
      </c>
    </row>
    <row r="22" spans="1:18" x14ac:dyDescent="0.25">
      <c r="A22" t="s">
        <v>57</v>
      </c>
      <c r="B22" t="s">
        <v>32</v>
      </c>
      <c r="C22" t="s">
        <v>8</v>
      </c>
      <c r="D22" t="s">
        <v>49</v>
      </c>
      <c r="E22" t="s">
        <v>34</v>
      </c>
      <c r="F22" s="2">
        <v>45695</v>
      </c>
      <c r="G22" t="str">
        <f t="shared" si="0"/>
        <v>February</v>
      </c>
      <c r="H22" t="s">
        <v>30</v>
      </c>
      <c r="I22">
        <v>0</v>
      </c>
      <c r="J22">
        <v>0</v>
      </c>
      <c r="K22">
        <v>0</v>
      </c>
      <c r="L22">
        <v>6</v>
      </c>
      <c r="M22">
        <v>14</v>
      </c>
      <c r="N22" s="4">
        <f t="shared" si="1"/>
        <v>0</v>
      </c>
      <c r="O22">
        <v>39801</v>
      </c>
      <c r="P22" t="str">
        <f t="shared" si="2"/>
        <v>No</v>
      </c>
      <c r="Q22">
        <v>6</v>
      </c>
      <c r="R22" t="s">
        <v>17</v>
      </c>
    </row>
    <row r="23" spans="1:18" x14ac:dyDescent="0.25">
      <c r="A23" t="s">
        <v>58</v>
      </c>
      <c r="B23" t="s">
        <v>32</v>
      </c>
      <c r="C23" t="s">
        <v>15</v>
      </c>
      <c r="D23" t="s">
        <v>9</v>
      </c>
      <c r="E23" t="s">
        <v>10</v>
      </c>
      <c r="F23" s="2">
        <v>45696</v>
      </c>
      <c r="G23" t="str">
        <f t="shared" si="0"/>
        <v>February</v>
      </c>
      <c r="H23" t="s">
        <v>11</v>
      </c>
      <c r="I23">
        <v>8</v>
      </c>
      <c r="J23">
        <v>0</v>
      </c>
      <c r="K23">
        <v>15</v>
      </c>
      <c r="L23">
        <v>8</v>
      </c>
      <c r="M23">
        <v>20</v>
      </c>
      <c r="N23" s="4">
        <f t="shared" si="1"/>
        <v>0.75</v>
      </c>
      <c r="O23">
        <v>40276</v>
      </c>
      <c r="P23" t="str">
        <f t="shared" si="2"/>
        <v>No</v>
      </c>
      <c r="Q23">
        <v>8</v>
      </c>
      <c r="R23" t="s">
        <v>12</v>
      </c>
    </row>
    <row r="24" spans="1:18" x14ac:dyDescent="0.25">
      <c r="A24" t="s">
        <v>59</v>
      </c>
      <c r="B24" t="s">
        <v>14</v>
      </c>
      <c r="C24" t="s">
        <v>15</v>
      </c>
      <c r="D24" t="s">
        <v>37</v>
      </c>
      <c r="E24" t="s">
        <v>10</v>
      </c>
      <c r="F24" s="2">
        <v>45697</v>
      </c>
      <c r="G24" t="str">
        <f t="shared" si="0"/>
        <v>February</v>
      </c>
      <c r="H24" t="s">
        <v>22</v>
      </c>
      <c r="I24">
        <v>8</v>
      </c>
      <c r="J24">
        <v>3</v>
      </c>
      <c r="K24">
        <v>15</v>
      </c>
      <c r="L24">
        <v>8</v>
      </c>
      <c r="M24">
        <v>19</v>
      </c>
      <c r="N24" s="4">
        <f t="shared" si="1"/>
        <v>0.78947368421052633</v>
      </c>
      <c r="O24">
        <v>31993</v>
      </c>
      <c r="P24" t="str">
        <f t="shared" si="2"/>
        <v>No</v>
      </c>
      <c r="Q24">
        <v>8</v>
      </c>
      <c r="R24" t="s">
        <v>12</v>
      </c>
    </row>
    <row r="25" spans="1:18" x14ac:dyDescent="0.25">
      <c r="A25" t="s">
        <v>60</v>
      </c>
      <c r="B25" t="s">
        <v>25</v>
      </c>
      <c r="C25" t="s">
        <v>15</v>
      </c>
      <c r="D25" t="s">
        <v>16</v>
      </c>
      <c r="E25" t="s">
        <v>34</v>
      </c>
      <c r="F25" s="2">
        <v>45698</v>
      </c>
      <c r="G25" t="str">
        <f t="shared" si="0"/>
        <v>February</v>
      </c>
      <c r="H25" t="s">
        <v>11</v>
      </c>
      <c r="I25">
        <v>8</v>
      </c>
      <c r="J25">
        <v>0</v>
      </c>
      <c r="K25">
        <v>15</v>
      </c>
      <c r="L25">
        <v>8</v>
      </c>
      <c r="M25">
        <v>18</v>
      </c>
      <c r="N25" s="4">
        <f t="shared" si="1"/>
        <v>0.83333333333333337</v>
      </c>
      <c r="O25">
        <v>34108</v>
      </c>
      <c r="P25" t="str">
        <f t="shared" si="2"/>
        <v>No</v>
      </c>
      <c r="Q25">
        <v>8</v>
      </c>
      <c r="R25" t="s">
        <v>12</v>
      </c>
    </row>
    <row r="26" spans="1:18" x14ac:dyDescent="0.25">
      <c r="A26" t="s">
        <v>61</v>
      </c>
      <c r="B26" t="s">
        <v>28</v>
      </c>
      <c r="C26" t="s">
        <v>15</v>
      </c>
      <c r="D26" t="s">
        <v>45</v>
      </c>
      <c r="E26" t="s">
        <v>21</v>
      </c>
      <c r="F26" s="2">
        <v>45699</v>
      </c>
      <c r="G26" t="str">
        <f t="shared" si="0"/>
        <v>February</v>
      </c>
      <c r="H26" t="s">
        <v>22</v>
      </c>
      <c r="I26">
        <v>8</v>
      </c>
      <c r="J26">
        <v>2</v>
      </c>
      <c r="K26">
        <v>6</v>
      </c>
      <c r="L26">
        <v>4</v>
      </c>
      <c r="M26">
        <v>13</v>
      </c>
      <c r="N26" s="4">
        <f t="shared" si="1"/>
        <v>0.46153846153846156</v>
      </c>
      <c r="O26">
        <v>43688</v>
      </c>
      <c r="P26" t="str">
        <f t="shared" si="2"/>
        <v>No</v>
      </c>
      <c r="Q26">
        <v>4</v>
      </c>
      <c r="R26" t="s">
        <v>26</v>
      </c>
    </row>
    <row r="27" spans="1:18" x14ac:dyDescent="0.25">
      <c r="A27" t="s">
        <v>62</v>
      </c>
      <c r="B27" t="s">
        <v>25</v>
      </c>
      <c r="C27" t="s">
        <v>8</v>
      </c>
      <c r="D27" t="s">
        <v>45</v>
      </c>
      <c r="E27" t="s">
        <v>21</v>
      </c>
      <c r="F27" s="2">
        <v>45700</v>
      </c>
      <c r="G27" t="str">
        <f t="shared" si="0"/>
        <v>February</v>
      </c>
      <c r="H27" t="s">
        <v>11</v>
      </c>
      <c r="I27">
        <v>8</v>
      </c>
      <c r="J27">
        <v>0</v>
      </c>
      <c r="K27">
        <v>15</v>
      </c>
      <c r="L27">
        <v>8</v>
      </c>
      <c r="M27">
        <v>12</v>
      </c>
      <c r="N27" s="4">
        <f t="shared" si="1"/>
        <v>1.25</v>
      </c>
      <c r="O27">
        <v>39884</v>
      </c>
      <c r="P27" t="str">
        <f t="shared" si="2"/>
        <v>Yes</v>
      </c>
      <c r="Q27">
        <v>8</v>
      </c>
      <c r="R27" t="s">
        <v>12</v>
      </c>
    </row>
    <row r="28" spans="1:18" x14ac:dyDescent="0.25">
      <c r="A28" t="s">
        <v>63</v>
      </c>
      <c r="B28" t="s">
        <v>25</v>
      </c>
      <c r="C28" t="s">
        <v>8</v>
      </c>
      <c r="D28" t="s">
        <v>16</v>
      </c>
      <c r="E28" t="s">
        <v>42</v>
      </c>
      <c r="F28" s="2">
        <v>45701</v>
      </c>
      <c r="G28" t="str">
        <f t="shared" si="0"/>
        <v>February</v>
      </c>
      <c r="H28" t="s">
        <v>22</v>
      </c>
      <c r="I28">
        <v>8</v>
      </c>
      <c r="J28">
        <v>1</v>
      </c>
      <c r="K28">
        <v>13</v>
      </c>
      <c r="L28">
        <v>10</v>
      </c>
      <c r="M28">
        <v>18</v>
      </c>
      <c r="N28" s="4">
        <f t="shared" si="1"/>
        <v>0.72222222222222221</v>
      </c>
      <c r="O28">
        <v>31510</v>
      </c>
      <c r="P28" t="str">
        <f t="shared" si="2"/>
        <v>No</v>
      </c>
      <c r="Q28">
        <v>10</v>
      </c>
      <c r="R28" t="s">
        <v>12</v>
      </c>
    </row>
    <row r="29" spans="1:18" x14ac:dyDescent="0.25">
      <c r="A29" t="s">
        <v>64</v>
      </c>
      <c r="B29" t="s">
        <v>36</v>
      </c>
      <c r="C29" t="s">
        <v>8</v>
      </c>
      <c r="D29" t="s">
        <v>49</v>
      </c>
      <c r="E29" t="s">
        <v>42</v>
      </c>
      <c r="F29" s="2">
        <v>45702</v>
      </c>
      <c r="G29" t="str">
        <f t="shared" si="0"/>
        <v>February</v>
      </c>
      <c r="H29" t="s">
        <v>11</v>
      </c>
      <c r="I29">
        <v>8</v>
      </c>
      <c r="J29">
        <v>0</v>
      </c>
      <c r="K29">
        <v>10</v>
      </c>
      <c r="L29">
        <v>9</v>
      </c>
      <c r="M29">
        <v>19</v>
      </c>
      <c r="N29" s="4">
        <f t="shared" si="1"/>
        <v>0.52631578947368418</v>
      </c>
      <c r="O29">
        <v>28690</v>
      </c>
      <c r="P29" t="str">
        <f t="shared" si="2"/>
        <v>No</v>
      </c>
      <c r="Q29">
        <v>9</v>
      </c>
      <c r="R29" t="s">
        <v>12</v>
      </c>
    </row>
    <row r="30" spans="1:18" x14ac:dyDescent="0.25">
      <c r="A30" t="s">
        <v>65</v>
      </c>
      <c r="B30" t="s">
        <v>66</v>
      </c>
      <c r="C30" t="s">
        <v>8</v>
      </c>
      <c r="D30" t="s">
        <v>16</v>
      </c>
      <c r="E30" t="s">
        <v>34</v>
      </c>
      <c r="F30" s="2">
        <v>45703</v>
      </c>
      <c r="G30" t="str">
        <f t="shared" si="0"/>
        <v>February</v>
      </c>
      <c r="H30" t="s">
        <v>40</v>
      </c>
      <c r="I30">
        <v>0</v>
      </c>
      <c r="J30">
        <v>0</v>
      </c>
      <c r="K30">
        <v>0</v>
      </c>
      <c r="L30">
        <v>8</v>
      </c>
      <c r="M30">
        <v>12</v>
      </c>
      <c r="N30" s="4">
        <f t="shared" si="1"/>
        <v>0</v>
      </c>
      <c r="O30">
        <v>46416</v>
      </c>
      <c r="P30" t="str">
        <f t="shared" si="2"/>
        <v>No</v>
      </c>
      <c r="Q30">
        <v>8</v>
      </c>
      <c r="R30" t="s">
        <v>12</v>
      </c>
    </row>
    <row r="31" spans="1:18" x14ac:dyDescent="0.25">
      <c r="A31" t="s">
        <v>67</v>
      </c>
      <c r="B31" t="s">
        <v>66</v>
      </c>
      <c r="C31" t="s">
        <v>29</v>
      </c>
      <c r="D31" t="s">
        <v>9</v>
      </c>
      <c r="E31" t="s">
        <v>42</v>
      </c>
      <c r="F31" s="2">
        <v>45704</v>
      </c>
      <c r="G31" t="str">
        <f t="shared" si="0"/>
        <v>February</v>
      </c>
      <c r="H31" t="s">
        <v>11</v>
      </c>
      <c r="I31">
        <v>8</v>
      </c>
      <c r="J31">
        <v>0</v>
      </c>
      <c r="K31">
        <v>20</v>
      </c>
      <c r="L31">
        <v>5</v>
      </c>
      <c r="M31">
        <v>19</v>
      </c>
      <c r="N31" s="4">
        <f t="shared" si="1"/>
        <v>1.0526315789473684</v>
      </c>
      <c r="O31">
        <v>49245</v>
      </c>
      <c r="P31" t="str">
        <f t="shared" si="2"/>
        <v>Yes</v>
      </c>
      <c r="Q31">
        <v>5</v>
      </c>
      <c r="R31" t="s">
        <v>17</v>
      </c>
    </row>
    <row r="32" spans="1:18" x14ac:dyDescent="0.25">
      <c r="A32" t="s">
        <v>68</v>
      </c>
      <c r="B32" t="s">
        <v>44</v>
      </c>
      <c r="C32" t="s">
        <v>15</v>
      </c>
      <c r="D32" t="s">
        <v>45</v>
      </c>
      <c r="E32" t="s">
        <v>21</v>
      </c>
      <c r="F32" s="2">
        <v>45705</v>
      </c>
      <c r="G32" t="str">
        <f t="shared" si="0"/>
        <v>February</v>
      </c>
      <c r="H32" t="s">
        <v>11</v>
      </c>
      <c r="I32">
        <v>8</v>
      </c>
      <c r="J32">
        <v>0</v>
      </c>
      <c r="K32">
        <v>12</v>
      </c>
      <c r="L32">
        <v>7</v>
      </c>
      <c r="M32">
        <v>10</v>
      </c>
      <c r="N32" s="4">
        <f t="shared" si="1"/>
        <v>1.2</v>
      </c>
      <c r="O32">
        <v>42818</v>
      </c>
      <c r="P32" t="str">
        <f t="shared" si="2"/>
        <v>Yes</v>
      </c>
      <c r="Q32">
        <v>7</v>
      </c>
      <c r="R32" t="s">
        <v>17</v>
      </c>
    </row>
    <row r="33" spans="1:18" x14ac:dyDescent="0.25">
      <c r="A33" t="s">
        <v>69</v>
      </c>
      <c r="B33" t="s">
        <v>14</v>
      </c>
      <c r="C33" t="s">
        <v>8</v>
      </c>
      <c r="D33" t="s">
        <v>33</v>
      </c>
      <c r="E33" t="s">
        <v>21</v>
      </c>
      <c r="F33" s="2">
        <v>45706</v>
      </c>
      <c r="G33" t="str">
        <f t="shared" si="0"/>
        <v>February</v>
      </c>
      <c r="H33" t="s">
        <v>40</v>
      </c>
      <c r="I33">
        <v>0</v>
      </c>
      <c r="J33">
        <v>0</v>
      </c>
      <c r="K33">
        <v>0</v>
      </c>
      <c r="L33">
        <v>5</v>
      </c>
      <c r="M33">
        <v>13</v>
      </c>
      <c r="N33" s="4">
        <f t="shared" si="1"/>
        <v>0</v>
      </c>
      <c r="O33">
        <v>43005</v>
      </c>
      <c r="P33" t="str">
        <f t="shared" si="2"/>
        <v>No</v>
      </c>
      <c r="Q33">
        <v>5</v>
      </c>
      <c r="R33" t="s">
        <v>26</v>
      </c>
    </row>
    <row r="34" spans="1:18" x14ac:dyDescent="0.25">
      <c r="A34" t="s">
        <v>70</v>
      </c>
      <c r="B34" t="s">
        <v>28</v>
      </c>
      <c r="C34" t="s">
        <v>29</v>
      </c>
      <c r="D34" t="s">
        <v>49</v>
      </c>
      <c r="E34" t="s">
        <v>34</v>
      </c>
      <c r="F34" s="2">
        <v>45707</v>
      </c>
      <c r="G34" t="str">
        <f t="shared" si="0"/>
        <v>February</v>
      </c>
      <c r="H34" t="s">
        <v>22</v>
      </c>
      <c r="I34">
        <v>8</v>
      </c>
      <c r="J34">
        <v>1</v>
      </c>
      <c r="K34">
        <v>15</v>
      </c>
      <c r="L34">
        <v>6</v>
      </c>
      <c r="M34">
        <v>20</v>
      </c>
      <c r="N34" s="4">
        <f t="shared" si="1"/>
        <v>0.75</v>
      </c>
      <c r="O34">
        <v>48315</v>
      </c>
      <c r="P34" t="str">
        <f t="shared" si="2"/>
        <v>No</v>
      </c>
      <c r="Q34">
        <v>6</v>
      </c>
      <c r="R34" t="s">
        <v>17</v>
      </c>
    </row>
    <row r="35" spans="1:18" x14ac:dyDescent="0.25">
      <c r="A35" t="s">
        <v>71</v>
      </c>
      <c r="B35" t="s">
        <v>19</v>
      </c>
      <c r="C35" t="s">
        <v>15</v>
      </c>
      <c r="D35" t="s">
        <v>49</v>
      </c>
      <c r="E35" t="s">
        <v>34</v>
      </c>
      <c r="F35" s="2">
        <v>45708</v>
      </c>
      <c r="G35" t="str">
        <f t="shared" si="0"/>
        <v>February</v>
      </c>
      <c r="H35" t="s">
        <v>22</v>
      </c>
      <c r="I35">
        <v>8</v>
      </c>
      <c r="J35">
        <v>3</v>
      </c>
      <c r="K35">
        <v>10</v>
      </c>
      <c r="L35">
        <v>4</v>
      </c>
      <c r="M35">
        <v>13</v>
      </c>
      <c r="N35" s="4">
        <f t="shared" si="1"/>
        <v>0.76923076923076927</v>
      </c>
      <c r="O35">
        <v>34132</v>
      </c>
      <c r="P35" t="str">
        <f t="shared" si="2"/>
        <v>No</v>
      </c>
      <c r="Q35">
        <v>4</v>
      </c>
      <c r="R35" t="s">
        <v>26</v>
      </c>
    </row>
    <row r="36" spans="1:18" x14ac:dyDescent="0.25">
      <c r="A36" t="s">
        <v>72</v>
      </c>
      <c r="B36" t="s">
        <v>32</v>
      </c>
      <c r="C36" t="s">
        <v>8</v>
      </c>
      <c r="D36" t="s">
        <v>49</v>
      </c>
      <c r="E36" t="s">
        <v>21</v>
      </c>
      <c r="F36" s="2">
        <v>45709</v>
      </c>
      <c r="G36" t="str">
        <f t="shared" si="0"/>
        <v>February</v>
      </c>
      <c r="H36" t="s">
        <v>40</v>
      </c>
      <c r="I36">
        <v>0</v>
      </c>
      <c r="J36">
        <v>0</v>
      </c>
      <c r="K36">
        <v>0</v>
      </c>
      <c r="L36">
        <v>6</v>
      </c>
      <c r="M36">
        <v>15</v>
      </c>
      <c r="N36" s="4">
        <f t="shared" si="1"/>
        <v>0</v>
      </c>
      <c r="O36">
        <v>27634</v>
      </c>
      <c r="P36" t="str">
        <f t="shared" si="2"/>
        <v>No</v>
      </c>
      <c r="Q36">
        <v>6</v>
      </c>
      <c r="R36" t="s">
        <v>17</v>
      </c>
    </row>
    <row r="37" spans="1:18" x14ac:dyDescent="0.25">
      <c r="A37" t="s">
        <v>73</v>
      </c>
      <c r="B37" t="s">
        <v>36</v>
      </c>
      <c r="C37" t="s">
        <v>20</v>
      </c>
      <c r="D37" t="s">
        <v>37</v>
      </c>
      <c r="E37" t="s">
        <v>10</v>
      </c>
      <c r="F37" s="2">
        <v>45710</v>
      </c>
      <c r="G37" t="str">
        <f t="shared" si="0"/>
        <v>February</v>
      </c>
      <c r="H37" t="s">
        <v>40</v>
      </c>
      <c r="I37">
        <v>0</v>
      </c>
      <c r="J37">
        <v>0</v>
      </c>
      <c r="K37">
        <v>0</v>
      </c>
      <c r="L37">
        <v>7</v>
      </c>
      <c r="M37">
        <v>16</v>
      </c>
      <c r="N37" s="4">
        <f t="shared" si="1"/>
        <v>0</v>
      </c>
      <c r="O37">
        <v>28546</v>
      </c>
      <c r="P37" t="str">
        <f t="shared" si="2"/>
        <v>No</v>
      </c>
      <c r="Q37">
        <v>7</v>
      </c>
      <c r="R37" t="s">
        <v>17</v>
      </c>
    </row>
    <row r="38" spans="1:18" x14ac:dyDescent="0.25">
      <c r="A38" t="s">
        <v>74</v>
      </c>
      <c r="B38" t="s">
        <v>14</v>
      </c>
      <c r="C38" t="s">
        <v>15</v>
      </c>
      <c r="D38" t="s">
        <v>33</v>
      </c>
      <c r="E38" t="s">
        <v>21</v>
      </c>
      <c r="F38" s="2">
        <v>45711</v>
      </c>
      <c r="G38" t="str">
        <f t="shared" si="0"/>
        <v>February</v>
      </c>
      <c r="H38" t="s">
        <v>11</v>
      </c>
      <c r="I38">
        <v>8</v>
      </c>
      <c r="J38">
        <v>0</v>
      </c>
      <c r="K38">
        <v>10</v>
      </c>
      <c r="L38">
        <v>4</v>
      </c>
      <c r="M38">
        <v>13</v>
      </c>
      <c r="N38" s="4">
        <f t="shared" si="1"/>
        <v>0.76923076923076927</v>
      </c>
      <c r="O38">
        <v>27053</v>
      </c>
      <c r="P38" t="str">
        <f t="shared" si="2"/>
        <v>No</v>
      </c>
      <c r="Q38">
        <v>4</v>
      </c>
      <c r="R38" t="s">
        <v>26</v>
      </c>
    </row>
    <row r="39" spans="1:18" x14ac:dyDescent="0.25">
      <c r="A39" t="s">
        <v>75</v>
      </c>
      <c r="B39" t="s">
        <v>39</v>
      </c>
      <c r="C39" t="s">
        <v>29</v>
      </c>
      <c r="D39" t="s">
        <v>49</v>
      </c>
      <c r="E39" t="s">
        <v>34</v>
      </c>
      <c r="F39" s="2">
        <v>45712</v>
      </c>
      <c r="G39" t="str">
        <f t="shared" si="0"/>
        <v>February</v>
      </c>
      <c r="H39" t="s">
        <v>11</v>
      </c>
      <c r="I39">
        <v>8</v>
      </c>
      <c r="J39">
        <v>0</v>
      </c>
      <c r="K39">
        <v>5</v>
      </c>
      <c r="L39">
        <v>3</v>
      </c>
      <c r="M39">
        <v>13</v>
      </c>
      <c r="N39" s="4">
        <f t="shared" si="1"/>
        <v>0.38461538461538464</v>
      </c>
      <c r="O39">
        <v>40611</v>
      </c>
      <c r="P39" t="str">
        <f t="shared" si="2"/>
        <v>No</v>
      </c>
      <c r="Q39">
        <v>3</v>
      </c>
      <c r="R39" t="s">
        <v>23</v>
      </c>
    </row>
    <row r="40" spans="1:18" x14ac:dyDescent="0.25">
      <c r="A40" t="s">
        <v>76</v>
      </c>
      <c r="B40" t="s">
        <v>39</v>
      </c>
      <c r="C40" t="s">
        <v>8</v>
      </c>
      <c r="D40" t="s">
        <v>37</v>
      </c>
      <c r="E40" t="s">
        <v>21</v>
      </c>
      <c r="F40" s="2">
        <v>45713</v>
      </c>
      <c r="G40" t="str">
        <f t="shared" si="0"/>
        <v>February</v>
      </c>
      <c r="H40" t="s">
        <v>22</v>
      </c>
      <c r="I40">
        <v>8</v>
      </c>
      <c r="J40">
        <v>3</v>
      </c>
      <c r="K40">
        <v>18</v>
      </c>
      <c r="L40">
        <v>3</v>
      </c>
      <c r="M40">
        <v>19</v>
      </c>
      <c r="N40" s="4">
        <f t="shared" si="1"/>
        <v>0.94736842105263153</v>
      </c>
      <c r="O40">
        <v>28977</v>
      </c>
      <c r="P40" t="str">
        <f t="shared" si="2"/>
        <v>Yes</v>
      </c>
      <c r="Q40">
        <v>3</v>
      </c>
      <c r="R40" t="s">
        <v>23</v>
      </c>
    </row>
    <row r="41" spans="1:18" x14ac:dyDescent="0.25">
      <c r="A41" t="s">
        <v>77</v>
      </c>
      <c r="B41" t="s">
        <v>32</v>
      </c>
      <c r="C41" t="s">
        <v>20</v>
      </c>
      <c r="D41" t="s">
        <v>45</v>
      </c>
      <c r="E41" t="s">
        <v>10</v>
      </c>
      <c r="F41" s="2">
        <v>45714</v>
      </c>
      <c r="G41" t="str">
        <f t="shared" si="0"/>
        <v>February</v>
      </c>
      <c r="H41" t="s">
        <v>11</v>
      </c>
      <c r="I41">
        <v>8</v>
      </c>
      <c r="J41">
        <v>0</v>
      </c>
      <c r="K41">
        <v>7</v>
      </c>
      <c r="L41">
        <v>7</v>
      </c>
      <c r="M41">
        <v>10</v>
      </c>
      <c r="N41" s="4">
        <f t="shared" si="1"/>
        <v>0.7</v>
      </c>
      <c r="O41">
        <v>34392</v>
      </c>
      <c r="P41" t="str">
        <f t="shared" si="2"/>
        <v>No</v>
      </c>
      <c r="Q41">
        <v>7</v>
      </c>
      <c r="R41" t="s">
        <v>17</v>
      </c>
    </row>
    <row r="42" spans="1:18" x14ac:dyDescent="0.25">
      <c r="A42" t="s">
        <v>78</v>
      </c>
      <c r="B42" t="s">
        <v>19</v>
      </c>
      <c r="C42" t="s">
        <v>29</v>
      </c>
      <c r="D42" t="s">
        <v>45</v>
      </c>
      <c r="E42" t="s">
        <v>42</v>
      </c>
      <c r="F42" s="2">
        <v>45715</v>
      </c>
      <c r="G42" t="str">
        <f t="shared" si="0"/>
        <v>February</v>
      </c>
      <c r="H42" t="s">
        <v>11</v>
      </c>
      <c r="I42">
        <v>8</v>
      </c>
      <c r="J42">
        <v>0</v>
      </c>
      <c r="K42">
        <v>13</v>
      </c>
      <c r="L42">
        <v>9</v>
      </c>
      <c r="M42">
        <v>19</v>
      </c>
      <c r="N42" s="4">
        <f t="shared" si="1"/>
        <v>0.68421052631578949</v>
      </c>
      <c r="O42">
        <v>44371</v>
      </c>
      <c r="P42" t="str">
        <f t="shared" si="2"/>
        <v>No</v>
      </c>
      <c r="Q42">
        <v>9</v>
      </c>
      <c r="R42" t="s">
        <v>12</v>
      </c>
    </row>
    <row r="43" spans="1:18" x14ac:dyDescent="0.25">
      <c r="A43" t="s">
        <v>79</v>
      </c>
      <c r="B43" t="s">
        <v>32</v>
      </c>
      <c r="C43" t="s">
        <v>29</v>
      </c>
      <c r="D43" t="s">
        <v>33</v>
      </c>
      <c r="E43" t="s">
        <v>34</v>
      </c>
      <c r="F43" s="2">
        <v>45716</v>
      </c>
      <c r="G43" t="str">
        <f t="shared" si="0"/>
        <v>February</v>
      </c>
      <c r="H43" t="s">
        <v>40</v>
      </c>
      <c r="I43">
        <v>0</v>
      </c>
      <c r="J43">
        <v>0</v>
      </c>
      <c r="K43">
        <v>0</v>
      </c>
      <c r="L43">
        <v>7</v>
      </c>
      <c r="M43">
        <v>12</v>
      </c>
      <c r="N43" s="4">
        <f t="shared" si="1"/>
        <v>0</v>
      </c>
      <c r="O43">
        <v>28475</v>
      </c>
      <c r="P43" t="str">
        <f t="shared" si="2"/>
        <v>No</v>
      </c>
      <c r="Q43">
        <v>7</v>
      </c>
      <c r="R43" t="s">
        <v>17</v>
      </c>
    </row>
    <row r="44" spans="1:18" x14ac:dyDescent="0.25">
      <c r="A44" t="s">
        <v>80</v>
      </c>
      <c r="B44" t="s">
        <v>25</v>
      </c>
      <c r="C44" t="s">
        <v>8</v>
      </c>
      <c r="D44" t="s">
        <v>33</v>
      </c>
      <c r="E44" t="s">
        <v>34</v>
      </c>
      <c r="F44" s="2">
        <v>45717</v>
      </c>
      <c r="G44" t="str">
        <f t="shared" si="0"/>
        <v>March</v>
      </c>
      <c r="H44" t="s">
        <v>30</v>
      </c>
      <c r="I44">
        <v>0</v>
      </c>
      <c r="J44">
        <v>0</v>
      </c>
      <c r="K44">
        <v>0</v>
      </c>
      <c r="L44">
        <v>4</v>
      </c>
      <c r="M44">
        <v>12</v>
      </c>
      <c r="N44" s="4">
        <f t="shared" si="1"/>
        <v>0</v>
      </c>
      <c r="O44">
        <v>42612</v>
      </c>
      <c r="P44" t="str">
        <f t="shared" si="2"/>
        <v>No</v>
      </c>
      <c r="Q44">
        <v>4</v>
      </c>
      <c r="R44" t="s">
        <v>26</v>
      </c>
    </row>
    <row r="45" spans="1:18" x14ac:dyDescent="0.25">
      <c r="A45" t="s">
        <v>81</v>
      </c>
      <c r="B45" t="s">
        <v>36</v>
      </c>
      <c r="C45" t="s">
        <v>29</v>
      </c>
      <c r="D45" t="s">
        <v>45</v>
      </c>
      <c r="E45" t="s">
        <v>21</v>
      </c>
      <c r="F45" s="2">
        <v>45718</v>
      </c>
      <c r="G45" t="str">
        <f t="shared" si="0"/>
        <v>March</v>
      </c>
      <c r="H45" t="s">
        <v>40</v>
      </c>
      <c r="I45">
        <v>0</v>
      </c>
      <c r="J45">
        <v>0</v>
      </c>
      <c r="K45">
        <v>0</v>
      </c>
      <c r="L45">
        <v>3</v>
      </c>
      <c r="M45">
        <v>15</v>
      </c>
      <c r="N45" s="4">
        <f t="shared" si="1"/>
        <v>0</v>
      </c>
      <c r="O45">
        <v>39865</v>
      </c>
      <c r="P45" t="str">
        <f t="shared" si="2"/>
        <v>No</v>
      </c>
      <c r="Q45">
        <v>3</v>
      </c>
      <c r="R45" t="s">
        <v>23</v>
      </c>
    </row>
    <row r="46" spans="1:18" x14ac:dyDescent="0.25">
      <c r="A46" t="s">
        <v>82</v>
      </c>
      <c r="B46" t="s">
        <v>7</v>
      </c>
      <c r="C46" t="s">
        <v>15</v>
      </c>
      <c r="D46" t="s">
        <v>16</v>
      </c>
      <c r="E46" t="s">
        <v>42</v>
      </c>
      <c r="F46" s="2">
        <v>45719</v>
      </c>
      <c r="G46" t="str">
        <f t="shared" si="0"/>
        <v>March</v>
      </c>
      <c r="H46" t="s">
        <v>40</v>
      </c>
      <c r="I46">
        <v>0</v>
      </c>
      <c r="J46">
        <v>0</v>
      </c>
      <c r="K46">
        <v>0</v>
      </c>
      <c r="L46">
        <v>5</v>
      </c>
      <c r="M46">
        <v>18</v>
      </c>
      <c r="N46" s="4">
        <f t="shared" si="1"/>
        <v>0</v>
      </c>
      <c r="O46">
        <v>49289</v>
      </c>
      <c r="P46" t="str">
        <f t="shared" si="2"/>
        <v>No</v>
      </c>
      <c r="Q46">
        <v>5</v>
      </c>
      <c r="R46" t="s">
        <v>17</v>
      </c>
    </row>
    <row r="47" spans="1:18" x14ac:dyDescent="0.25">
      <c r="A47" t="s">
        <v>83</v>
      </c>
      <c r="B47" t="s">
        <v>44</v>
      </c>
      <c r="C47" t="s">
        <v>15</v>
      </c>
      <c r="D47" t="s">
        <v>16</v>
      </c>
      <c r="E47" t="s">
        <v>34</v>
      </c>
      <c r="F47" s="2">
        <v>45720</v>
      </c>
      <c r="G47" t="str">
        <f t="shared" si="0"/>
        <v>March</v>
      </c>
      <c r="H47" t="s">
        <v>30</v>
      </c>
      <c r="I47">
        <v>0</v>
      </c>
      <c r="J47">
        <v>0</v>
      </c>
      <c r="K47">
        <v>0</v>
      </c>
      <c r="L47">
        <v>8</v>
      </c>
      <c r="M47">
        <v>19</v>
      </c>
      <c r="N47" s="4">
        <f t="shared" si="1"/>
        <v>0</v>
      </c>
      <c r="O47">
        <v>47597</v>
      </c>
      <c r="P47" t="str">
        <f t="shared" si="2"/>
        <v>No</v>
      </c>
      <c r="Q47">
        <v>8</v>
      </c>
      <c r="R47" t="s">
        <v>12</v>
      </c>
    </row>
    <row r="48" spans="1:18" x14ac:dyDescent="0.25">
      <c r="A48" t="s">
        <v>84</v>
      </c>
      <c r="B48" t="s">
        <v>44</v>
      </c>
      <c r="C48" t="s">
        <v>29</v>
      </c>
      <c r="D48" t="s">
        <v>45</v>
      </c>
      <c r="E48" t="s">
        <v>21</v>
      </c>
      <c r="F48" s="2">
        <v>45721</v>
      </c>
      <c r="G48" t="str">
        <f t="shared" si="0"/>
        <v>March</v>
      </c>
      <c r="H48" t="s">
        <v>22</v>
      </c>
      <c r="I48">
        <v>8</v>
      </c>
      <c r="J48">
        <v>3</v>
      </c>
      <c r="K48">
        <v>11</v>
      </c>
      <c r="L48">
        <v>8</v>
      </c>
      <c r="M48">
        <v>20</v>
      </c>
      <c r="N48" s="4">
        <f t="shared" si="1"/>
        <v>0.55000000000000004</v>
      </c>
      <c r="O48">
        <v>37648</v>
      </c>
      <c r="P48" t="str">
        <f t="shared" si="2"/>
        <v>No</v>
      </c>
      <c r="Q48">
        <v>8</v>
      </c>
      <c r="R48" t="s">
        <v>12</v>
      </c>
    </row>
    <row r="49" spans="1:18" x14ac:dyDescent="0.25">
      <c r="A49" t="s">
        <v>85</v>
      </c>
      <c r="B49" t="s">
        <v>7</v>
      </c>
      <c r="C49" t="s">
        <v>15</v>
      </c>
      <c r="D49" t="s">
        <v>9</v>
      </c>
      <c r="E49" t="s">
        <v>42</v>
      </c>
      <c r="F49" s="2">
        <v>45722</v>
      </c>
      <c r="G49" t="str">
        <f t="shared" si="0"/>
        <v>March</v>
      </c>
      <c r="H49" t="s">
        <v>40</v>
      </c>
      <c r="I49">
        <v>0</v>
      </c>
      <c r="J49">
        <v>0</v>
      </c>
      <c r="K49">
        <v>0</v>
      </c>
      <c r="L49">
        <v>6</v>
      </c>
      <c r="M49">
        <v>17</v>
      </c>
      <c r="N49" s="4">
        <f t="shared" si="1"/>
        <v>0</v>
      </c>
      <c r="O49">
        <v>38780</v>
      </c>
      <c r="P49" t="str">
        <f t="shared" si="2"/>
        <v>No</v>
      </c>
      <c r="Q49">
        <v>6</v>
      </c>
      <c r="R49" t="s">
        <v>26</v>
      </c>
    </row>
    <row r="50" spans="1:18" x14ac:dyDescent="0.25">
      <c r="A50" t="s">
        <v>86</v>
      </c>
      <c r="B50" t="s">
        <v>7</v>
      </c>
      <c r="C50" t="s">
        <v>20</v>
      </c>
      <c r="D50" t="s">
        <v>9</v>
      </c>
      <c r="E50" t="s">
        <v>10</v>
      </c>
      <c r="F50" s="2">
        <v>45723</v>
      </c>
      <c r="G50" t="str">
        <f t="shared" si="0"/>
        <v>March</v>
      </c>
      <c r="H50" t="s">
        <v>22</v>
      </c>
      <c r="I50">
        <v>8</v>
      </c>
      <c r="J50">
        <v>0</v>
      </c>
      <c r="K50">
        <v>18</v>
      </c>
      <c r="L50">
        <v>5</v>
      </c>
      <c r="M50">
        <v>17</v>
      </c>
      <c r="N50" s="4">
        <f t="shared" si="1"/>
        <v>1.0588235294117647</v>
      </c>
      <c r="O50">
        <v>34990</v>
      </c>
      <c r="P50" t="str">
        <f t="shared" si="2"/>
        <v>Yes</v>
      </c>
      <c r="Q50">
        <v>5</v>
      </c>
      <c r="R50" t="s">
        <v>26</v>
      </c>
    </row>
    <row r="51" spans="1:18" x14ac:dyDescent="0.25">
      <c r="A51" t="s">
        <v>87</v>
      </c>
      <c r="B51" t="s">
        <v>14</v>
      </c>
      <c r="C51" t="s">
        <v>8</v>
      </c>
      <c r="D51" t="s">
        <v>45</v>
      </c>
      <c r="E51" t="s">
        <v>42</v>
      </c>
      <c r="F51" s="2">
        <v>45724</v>
      </c>
      <c r="G51" t="str">
        <f t="shared" si="0"/>
        <v>March</v>
      </c>
      <c r="H51" t="s">
        <v>40</v>
      </c>
      <c r="I51">
        <v>0</v>
      </c>
      <c r="J51">
        <v>0</v>
      </c>
      <c r="K51">
        <v>0</v>
      </c>
      <c r="L51">
        <v>3</v>
      </c>
      <c r="M51">
        <v>19</v>
      </c>
      <c r="N51" s="4">
        <f t="shared" si="1"/>
        <v>0</v>
      </c>
      <c r="O51">
        <v>45187</v>
      </c>
      <c r="P51" t="str">
        <f t="shared" si="2"/>
        <v>No</v>
      </c>
      <c r="Q51">
        <v>3</v>
      </c>
      <c r="R51" t="s">
        <v>23</v>
      </c>
    </row>
    <row r="52" spans="1:18" x14ac:dyDescent="0.25">
      <c r="A52" t="s">
        <v>88</v>
      </c>
      <c r="B52" t="s">
        <v>28</v>
      </c>
      <c r="C52" t="s">
        <v>20</v>
      </c>
      <c r="D52" t="s">
        <v>16</v>
      </c>
      <c r="E52" t="s">
        <v>21</v>
      </c>
      <c r="F52" s="2">
        <v>45725</v>
      </c>
      <c r="G52" t="str">
        <f t="shared" si="0"/>
        <v>March</v>
      </c>
      <c r="H52" t="s">
        <v>40</v>
      </c>
      <c r="I52">
        <v>0</v>
      </c>
      <c r="J52">
        <v>0</v>
      </c>
      <c r="K52">
        <v>0</v>
      </c>
      <c r="L52">
        <v>6</v>
      </c>
      <c r="M52">
        <v>18</v>
      </c>
      <c r="N52" s="4">
        <f t="shared" si="1"/>
        <v>0</v>
      </c>
      <c r="O52">
        <v>28002</v>
      </c>
      <c r="P52" t="str">
        <f t="shared" si="2"/>
        <v>No</v>
      </c>
      <c r="Q52">
        <v>6</v>
      </c>
      <c r="R52" t="s">
        <v>26</v>
      </c>
    </row>
    <row r="53" spans="1:18" x14ac:dyDescent="0.25">
      <c r="A53" t="s">
        <v>89</v>
      </c>
      <c r="B53" t="s">
        <v>39</v>
      </c>
      <c r="C53" t="s">
        <v>15</v>
      </c>
      <c r="D53" t="s">
        <v>37</v>
      </c>
      <c r="E53" t="s">
        <v>10</v>
      </c>
      <c r="F53" s="2">
        <v>45726</v>
      </c>
      <c r="G53" t="str">
        <f t="shared" si="0"/>
        <v>March</v>
      </c>
      <c r="H53" t="s">
        <v>40</v>
      </c>
      <c r="I53">
        <v>0</v>
      </c>
      <c r="J53">
        <v>0</v>
      </c>
      <c r="K53">
        <v>0</v>
      </c>
      <c r="L53">
        <v>6</v>
      </c>
      <c r="M53">
        <v>19</v>
      </c>
      <c r="N53" s="4">
        <f t="shared" si="1"/>
        <v>0</v>
      </c>
      <c r="O53">
        <v>29635</v>
      </c>
      <c r="P53" t="str">
        <f t="shared" si="2"/>
        <v>No</v>
      </c>
      <c r="Q53">
        <v>6</v>
      </c>
      <c r="R53" t="s">
        <v>26</v>
      </c>
    </row>
    <row r="54" spans="1:18" x14ac:dyDescent="0.25">
      <c r="A54" t="s">
        <v>90</v>
      </c>
      <c r="B54" t="s">
        <v>14</v>
      </c>
      <c r="C54" t="s">
        <v>15</v>
      </c>
      <c r="D54" t="s">
        <v>45</v>
      </c>
      <c r="E54" t="s">
        <v>34</v>
      </c>
      <c r="F54" s="2">
        <v>45727</v>
      </c>
      <c r="G54" t="str">
        <f t="shared" si="0"/>
        <v>March</v>
      </c>
      <c r="H54" t="s">
        <v>22</v>
      </c>
      <c r="I54">
        <v>8</v>
      </c>
      <c r="J54">
        <v>2</v>
      </c>
      <c r="K54">
        <v>8</v>
      </c>
      <c r="L54">
        <v>8</v>
      </c>
      <c r="M54">
        <v>11</v>
      </c>
      <c r="N54" s="4">
        <f t="shared" si="1"/>
        <v>0.72727272727272729</v>
      </c>
      <c r="O54">
        <v>25256</v>
      </c>
      <c r="P54" t="str">
        <f t="shared" si="2"/>
        <v>No</v>
      </c>
      <c r="Q54">
        <v>8</v>
      </c>
      <c r="R54" t="s">
        <v>12</v>
      </c>
    </row>
    <row r="55" spans="1:18" x14ac:dyDescent="0.25">
      <c r="A55" t="s">
        <v>91</v>
      </c>
      <c r="B55" t="s">
        <v>44</v>
      </c>
      <c r="C55" t="s">
        <v>20</v>
      </c>
      <c r="D55" t="s">
        <v>33</v>
      </c>
      <c r="E55" t="s">
        <v>10</v>
      </c>
      <c r="F55" s="2">
        <v>45728</v>
      </c>
      <c r="G55" t="str">
        <f t="shared" si="0"/>
        <v>March</v>
      </c>
      <c r="H55" t="s">
        <v>11</v>
      </c>
      <c r="I55">
        <v>8</v>
      </c>
      <c r="J55">
        <v>0</v>
      </c>
      <c r="K55">
        <v>20</v>
      </c>
      <c r="L55">
        <v>5</v>
      </c>
      <c r="M55">
        <v>18</v>
      </c>
      <c r="N55" s="4">
        <f t="shared" si="1"/>
        <v>1.1111111111111112</v>
      </c>
      <c r="O55">
        <v>42732</v>
      </c>
      <c r="P55" t="str">
        <f t="shared" si="2"/>
        <v>Yes</v>
      </c>
      <c r="Q55">
        <v>5</v>
      </c>
      <c r="R55" t="s">
        <v>17</v>
      </c>
    </row>
    <row r="56" spans="1:18" x14ac:dyDescent="0.25">
      <c r="A56" t="s">
        <v>92</v>
      </c>
      <c r="B56" t="s">
        <v>36</v>
      </c>
      <c r="C56" t="s">
        <v>29</v>
      </c>
      <c r="D56" t="s">
        <v>49</v>
      </c>
      <c r="E56" t="s">
        <v>42</v>
      </c>
      <c r="F56" s="2">
        <v>45729</v>
      </c>
      <c r="G56" t="str">
        <f t="shared" si="0"/>
        <v>March</v>
      </c>
      <c r="H56" t="s">
        <v>40</v>
      </c>
      <c r="I56">
        <v>0</v>
      </c>
      <c r="J56">
        <v>0</v>
      </c>
      <c r="K56">
        <v>0</v>
      </c>
      <c r="L56">
        <v>8</v>
      </c>
      <c r="M56">
        <v>16</v>
      </c>
      <c r="N56" s="4">
        <f t="shared" si="1"/>
        <v>0</v>
      </c>
      <c r="O56">
        <v>45019</v>
      </c>
      <c r="P56" t="str">
        <f t="shared" si="2"/>
        <v>No</v>
      </c>
      <c r="Q56">
        <v>8</v>
      </c>
      <c r="R56" t="s">
        <v>12</v>
      </c>
    </row>
    <row r="57" spans="1:18" x14ac:dyDescent="0.25">
      <c r="A57" t="s">
        <v>93</v>
      </c>
      <c r="B57" t="s">
        <v>44</v>
      </c>
      <c r="C57" t="s">
        <v>8</v>
      </c>
      <c r="D57" t="s">
        <v>9</v>
      </c>
      <c r="E57" t="s">
        <v>21</v>
      </c>
      <c r="F57" s="2">
        <v>45730</v>
      </c>
      <c r="G57" t="str">
        <f t="shared" si="0"/>
        <v>March</v>
      </c>
      <c r="H57" t="s">
        <v>11</v>
      </c>
      <c r="I57">
        <v>8</v>
      </c>
      <c r="J57">
        <v>0</v>
      </c>
      <c r="K57">
        <v>14</v>
      </c>
      <c r="L57">
        <v>4</v>
      </c>
      <c r="M57">
        <v>17</v>
      </c>
      <c r="N57" s="4">
        <f t="shared" si="1"/>
        <v>0.82352941176470584</v>
      </c>
      <c r="O57">
        <v>45171</v>
      </c>
      <c r="P57" t="str">
        <f t="shared" si="2"/>
        <v>No</v>
      </c>
      <c r="Q57">
        <v>4</v>
      </c>
      <c r="R57" t="s">
        <v>26</v>
      </c>
    </row>
    <row r="58" spans="1:18" x14ac:dyDescent="0.25">
      <c r="A58" t="s">
        <v>94</v>
      </c>
      <c r="B58" t="s">
        <v>28</v>
      </c>
      <c r="C58" t="s">
        <v>29</v>
      </c>
      <c r="D58" t="s">
        <v>16</v>
      </c>
      <c r="E58" t="s">
        <v>42</v>
      </c>
      <c r="F58" s="2">
        <v>45731</v>
      </c>
      <c r="G58" t="str">
        <f t="shared" si="0"/>
        <v>March</v>
      </c>
      <c r="H58" t="s">
        <v>11</v>
      </c>
      <c r="I58">
        <v>8</v>
      </c>
      <c r="J58">
        <v>0</v>
      </c>
      <c r="K58">
        <v>13</v>
      </c>
      <c r="L58">
        <v>10</v>
      </c>
      <c r="M58">
        <v>10</v>
      </c>
      <c r="N58" s="4">
        <f t="shared" si="1"/>
        <v>1.3</v>
      </c>
      <c r="O58">
        <v>45269</v>
      </c>
      <c r="P58" t="str">
        <f t="shared" si="2"/>
        <v>Yes</v>
      </c>
      <c r="Q58">
        <v>10</v>
      </c>
      <c r="R58" t="s">
        <v>12</v>
      </c>
    </row>
    <row r="59" spans="1:18" x14ac:dyDescent="0.25">
      <c r="A59" t="s">
        <v>95</v>
      </c>
      <c r="B59" t="s">
        <v>39</v>
      </c>
      <c r="C59" t="s">
        <v>20</v>
      </c>
      <c r="D59" t="s">
        <v>37</v>
      </c>
      <c r="E59" t="s">
        <v>42</v>
      </c>
      <c r="F59" s="2">
        <v>45732</v>
      </c>
      <c r="G59" t="str">
        <f t="shared" si="0"/>
        <v>March</v>
      </c>
      <c r="H59" t="s">
        <v>40</v>
      </c>
      <c r="I59">
        <v>0</v>
      </c>
      <c r="J59">
        <v>0</v>
      </c>
      <c r="K59">
        <v>0</v>
      </c>
      <c r="L59">
        <v>7</v>
      </c>
      <c r="M59">
        <v>17</v>
      </c>
      <c r="N59" s="4">
        <f t="shared" si="1"/>
        <v>0</v>
      </c>
      <c r="O59">
        <v>34038</v>
      </c>
      <c r="P59" t="str">
        <f t="shared" si="2"/>
        <v>No</v>
      </c>
      <c r="Q59">
        <v>7</v>
      </c>
      <c r="R59" t="s">
        <v>17</v>
      </c>
    </row>
    <row r="60" spans="1:18" x14ac:dyDescent="0.25">
      <c r="A60" t="s">
        <v>96</v>
      </c>
      <c r="B60" t="s">
        <v>28</v>
      </c>
      <c r="C60" t="s">
        <v>8</v>
      </c>
      <c r="D60" t="s">
        <v>37</v>
      </c>
      <c r="E60" t="s">
        <v>34</v>
      </c>
      <c r="F60" s="2">
        <v>45733</v>
      </c>
      <c r="G60" t="str">
        <f t="shared" si="0"/>
        <v>March</v>
      </c>
      <c r="H60" t="s">
        <v>11</v>
      </c>
      <c r="I60">
        <v>8</v>
      </c>
      <c r="J60">
        <v>0</v>
      </c>
      <c r="K60">
        <v>8</v>
      </c>
      <c r="L60">
        <v>10</v>
      </c>
      <c r="M60">
        <v>17</v>
      </c>
      <c r="N60" s="4">
        <f t="shared" si="1"/>
        <v>0.47058823529411764</v>
      </c>
      <c r="O60">
        <v>25550</v>
      </c>
      <c r="P60" t="str">
        <f t="shared" si="2"/>
        <v>No</v>
      </c>
      <c r="Q60">
        <v>10</v>
      </c>
      <c r="R60" t="s">
        <v>12</v>
      </c>
    </row>
    <row r="61" spans="1:18" x14ac:dyDescent="0.25">
      <c r="A61" t="s">
        <v>97</v>
      </c>
      <c r="B61" t="s">
        <v>19</v>
      </c>
      <c r="C61" t="s">
        <v>29</v>
      </c>
      <c r="D61" t="s">
        <v>9</v>
      </c>
      <c r="E61" t="s">
        <v>34</v>
      </c>
      <c r="F61" s="2">
        <v>45734</v>
      </c>
      <c r="G61" t="str">
        <f t="shared" si="0"/>
        <v>March</v>
      </c>
      <c r="H61" t="s">
        <v>30</v>
      </c>
      <c r="I61">
        <v>0</v>
      </c>
      <c r="J61">
        <v>0</v>
      </c>
      <c r="K61">
        <v>0</v>
      </c>
      <c r="L61">
        <v>10</v>
      </c>
      <c r="M61">
        <v>17</v>
      </c>
      <c r="N61" s="4">
        <f t="shared" si="1"/>
        <v>0</v>
      </c>
      <c r="O61">
        <v>46498</v>
      </c>
      <c r="P61" t="str">
        <f t="shared" si="2"/>
        <v>No</v>
      </c>
      <c r="Q61">
        <v>10</v>
      </c>
      <c r="R61" t="s">
        <v>12</v>
      </c>
    </row>
    <row r="62" spans="1:18" x14ac:dyDescent="0.25">
      <c r="A62" t="s">
        <v>98</v>
      </c>
      <c r="B62" t="s">
        <v>32</v>
      </c>
      <c r="C62" t="s">
        <v>29</v>
      </c>
      <c r="D62" t="s">
        <v>33</v>
      </c>
      <c r="E62" t="s">
        <v>21</v>
      </c>
      <c r="F62" s="2">
        <v>45735</v>
      </c>
      <c r="G62" t="str">
        <f t="shared" si="0"/>
        <v>March</v>
      </c>
      <c r="H62" t="s">
        <v>40</v>
      </c>
      <c r="I62">
        <v>0</v>
      </c>
      <c r="J62">
        <v>0</v>
      </c>
      <c r="K62">
        <v>0</v>
      </c>
      <c r="L62">
        <v>9</v>
      </c>
      <c r="M62">
        <v>16</v>
      </c>
      <c r="N62" s="4">
        <f t="shared" si="1"/>
        <v>0</v>
      </c>
      <c r="O62">
        <v>39500</v>
      </c>
      <c r="P62" t="str">
        <f t="shared" si="2"/>
        <v>No</v>
      </c>
      <c r="Q62">
        <v>9</v>
      </c>
      <c r="R62" t="s">
        <v>12</v>
      </c>
    </row>
    <row r="63" spans="1:18" x14ac:dyDescent="0.25">
      <c r="A63" t="s">
        <v>99</v>
      </c>
      <c r="B63" t="s">
        <v>28</v>
      </c>
      <c r="C63" t="s">
        <v>8</v>
      </c>
      <c r="D63" t="s">
        <v>49</v>
      </c>
      <c r="E63" t="s">
        <v>34</v>
      </c>
      <c r="F63" s="2">
        <v>45736</v>
      </c>
      <c r="G63" t="str">
        <f t="shared" si="0"/>
        <v>March</v>
      </c>
      <c r="H63" t="s">
        <v>22</v>
      </c>
      <c r="I63">
        <v>8</v>
      </c>
      <c r="J63">
        <v>0</v>
      </c>
      <c r="K63">
        <v>16</v>
      </c>
      <c r="L63">
        <v>7</v>
      </c>
      <c r="M63">
        <v>13</v>
      </c>
      <c r="N63" s="4">
        <f t="shared" si="1"/>
        <v>1.2307692307692308</v>
      </c>
      <c r="O63">
        <v>37246</v>
      </c>
      <c r="P63" t="str">
        <f t="shared" si="2"/>
        <v>Yes</v>
      </c>
      <c r="Q63">
        <v>7</v>
      </c>
      <c r="R63" t="s">
        <v>17</v>
      </c>
    </row>
    <row r="64" spans="1:18" x14ac:dyDescent="0.25">
      <c r="A64" t="s">
        <v>100</v>
      </c>
      <c r="B64" t="s">
        <v>44</v>
      </c>
      <c r="C64" t="s">
        <v>29</v>
      </c>
      <c r="D64" t="s">
        <v>45</v>
      </c>
      <c r="E64" t="s">
        <v>10</v>
      </c>
      <c r="F64" s="2">
        <v>45737</v>
      </c>
      <c r="G64" t="str">
        <f t="shared" si="0"/>
        <v>March</v>
      </c>
      <c r="H64" t="s">
        <v>22</v>
      </c>
      <c r="I64">
        <v>8</v>
      </c>
      <c r="J64">
        <v>2</v>
      </c>
      <c r="K64">
        <v>18</v>
      </c>
      <c r="L64">
        <v>9</v>
      </c>
      <c r="M64">
        <v>11</v>
      </c>
      <c r="N64" s="4">
        <f t="shared" si="1"/>
        <v>1.6363636363636365</v>
      </c>
      <c r="O64">
        <v>31724</v>
      </c>
      <c r="P64" t="str">
        <f t="shared" si="2"/>
        <v>Yes</v>
      </c>
      <c r="Q64">
        <v>9</v>
      </c>
      <c r="R64" t="s">
        <v>12</v>
      </c>
    </row>
    <row r="65" spans="1:18" x14ac:dyDescent="0.25">
      <c r="A65" t="s">
        <v>101</v>
      </c>
      <c r="B65" t="s">
        <v>36</v>
      </c>
      <c r="C65" t="s">
        <v>15</v>
      </c>
      <c r="D65" t="s">
        <v>33</v>
      </c>
      <c r="E65" t="s">
        <v>10</v>
      </c>
      <c r="F65" s="2">
        <v>45738</v>
      </c>
      <c r="G65" t="str">
        <f t="shared" si="0"/>
        <v>March</v>
      </c>
      <c r="H65" t="s">
        <v>30</v>
      </c>
      <c r="I65">
        <v>0</v>
      </c>
      <c r="J65">
        <v>0</v>
      </c>
      <c r="K65">
        <v>0</v>
      </c>
      <c r="L65">
        <v>7</v>
      </c>
      <c r="M65">
        <v>13</v>
      </c>
      <c r="N65" s="4">
        <f t="shared" si="1"/>
        <v>0</v>
      </c>
      <c r="O65">
        <v>44485</v>
      </c>
      <c r="P65" t="str">
        <f t="shared" si="2"/>
        <v>No</v>
      </c>
      <c r="Q65">
        <v>7</v>
      </c>
      <c r="R65" t="s">
        <v>17</v>
      </c>
    </row>
    <row r="66" spans="1:18" x14ac:dyDescent="0.25">
      <c r="A66" t="s">
        <v>102</v>
      </c>
      <c r="B66" t="s">
        <v>36</v>
      </c>
      <c r="C66" t="s">
        <v>8</v>
      </c>
      <c r="D66" t="s">
        <v>9</v>
      </c>
      <c r="E66" t="s">
        <v>34</v>
      </c>
      <c r="F66" s="2">
        <v>45739</v>
      </c>
      <c r="G66" t="str">
        <f t="shared" si="0"/>
        <v>March</v>
      </c>
      <c r="H66" t="s">
        <v>30</v>
      </c>
      <c r="I66">
        <v>0</v>
      </c>
      <c r="J66">
        <v>0</v>
      </c>
      <c r="K66">
        <v>0</v>
      </c>
      <c r="L66">
        <v>8</v>
      </c>
      <c r="M66">
        <v>20</v>
      </c>
      <c r="N66" s="4">
        <f t="shared" si="1"/>
        <v>0</v>
      </c>
      <c r="O66">
        <v>25102</v>
      </c>
      <c r="P66" t="str">
        <f t="shared" si="2"/>
        <v>No</v>
      </c>
      <c r="Q66">
        <v>8</v>
      </c>
      <c r="R66" t="s">
        <v>12</v>
      </c>
    </row>
    <row r="67" spans="1:18" x14ac:dyDescent="0.25">
      <c r="A67" t="s">
        <v>103</v>
      </c>
      <c r="B67" t="s">
        <v>28</v>
      </c>
      <c r="C67" t="s">
        <v>8</v>
      </c>
      <c r="D67" t="s">
        <v>45</v>
      </c>
      <c r="E67" t="s">
        <v>10</v>
      </c>
      <c r="F67" s="2">
        <v>45740</v>
      </c>
      <c r="G67" t="str">
        <f t="shared" ref="G67:G101" si="3">TEXT(F67,"mmmm")</f>
        <v>March</v>
      </c>
      <c r="H67" t="s">
        <v>22</v>
      </c>
      <c r="I67">
        <v>8</v>
      </c>
      <c r="J67">
        <v>1</v>
      </c>
      <c r="K67">
        <v>7</v>
      </c>
      <c r="L67">
        <v>6</v>
      </c>
      <c r="M67">
        <v>10</v>
      </c>
      <c r="N67" s="4">
        <f t="shared" ref="N67:N101" si="4">K67/M67</f>
        <v>0.7</v>
      </c>
      <c r="O67">
        <v>36345</v>
      </c>
      <c r="P67" t="str">
        <f t="shared" ref="P67:P101" si="5">IF(N67&gt;=90%,"Yes","No")</f>
        <v>No</v>
      </c>
      <c r="Q67">
        <v>6</v>
      </c>
      <c r="R67" t="s">
        <v>26</v>
      </c>
    </row>
    <row r="68" spans="1:18" x14ac:dyDescent="0.25">
      <c r="A68" t="s">
        <v>104</v>
      </c>
      <c r="B68" t="s">
        <v>19</v>
      </c>
      <c r="C68" t="s">
        <v>8</v>
      </c>
      <c r="D68" t="s">
        <v>33</v>
      </c>
      <c r="E68" t="s">
        <v>21</v>
      </c>
      <c r="F68" s="2">
        <v>45741</v>
      </c>
      <c r="G68" t="str">
        <f t="shared" si="3"/>
        <v>March</v>
      </c>
      <c r="H68" t="s">
        <v>22</v>
      </c>
      <c r="I68">
        <v>8</v>
      </c>
      <c r="J68">
        <v>1</v>
      </c>
      <c r="K68">
        <v>15</v>
      </c>
      <c r="L68">
        <v>8</v>
      </c>
      <c r="M68">
        <v>20</v>
      </c>
      <c r="N68" s="4">
        <f t="shared" si="4"/>
        <v>0.75</v>
      </c>
      <c r="O68">
        <v>34455</v>
      </c>
      <c r="P68" t="str">
        <f t="shared" si="5"/>
        <v>No</v>
      </c>
      <c r="Q68">
        <v>8</v>
      </c>
      <c r="R68" t="s">
        <v>12</v>
      </c>
    </row>
    <row r="69" spans="1:18" x14ac:dyDescent="0.25">
      <c r="A69" t="s">
        <v>105</v>
      </c>
      <c r="B69" t="s">
        <v>7</v>
      </c>
      <c r="C69" t="s">
        <v>20</v>
      </c>
      <c r="D69" t="s">
        <v>9</v>
      </c>
      <c r="E69" t="s">
        <v>10</v>
      </c>
      <c r="F69" s="2">
        <v>45742</v>
      </c>
      <c r="G69" t="str">
        <f t="shared" si="3"/>
        <v>March</v>
      </c>
      <c r="H69" t="s">
        <v>11</v>
      </c>
      <c r="I69">
        <v>8</v>
      </c>
      <c r="J69">
        <v>0</v>
      </c>
      <c r="K69">
        <v>14</v>
      </c>
      <c r="L69">
        <v>7</v>
      </c>
      <c r="M69">
        <v>18</v>
      </c>
      <c r="N69" s="4">
        <f t="shared" si="4"/>
        <v>0.77777777777777779</v>
      </c>
      <c r="O69">
        <v>39959</v>
      </c>
      <c r="P69" t="str">
        <f t="shared" si="5"/>
        <v>No</v>
      </c>
      <c r="Q69">
        <v>7</v>
      </c>
      <c r="R69" t="s">
        <v>17</v>
      </c>
    </row>
    <row r="70" spans="1:18" x14ac:dyDescent="0.25">
      <c r="A70" t="s">
        <v>106</v>
      </c>
      <c r="B70" t="s">
        <v>36</v>
      </c>
      <c r="C70" t="s">
        <v>15</v>
      </c>
      <c r="D70" t="s">
        <v>45</v>
      </c>
      <c r="E70" t="s">
        <v>10</v>
      </c>
      <c r="F70" s="2">
        <v>45743</v>
      </c>
      <c r="G70" t="str">
        <f t="shared" si="3"/>
        <v>March</v>
      </c>
      <c r="H70" t="s">
        <v>11</v>
      </c>
      <c r="I70">
        <v>8</v>
      </c>
      <c r="J70">
        <v>0</v>
      </c>
      <c r="K70">
        <v>8</v>
      </c>
      <c r="L70">
        <v>8</v>
      </c>
      <c r="M70">
        <v>13</v>
      </c>
      <c r="N70" s="4">
        <f t="shared" si="4"/>
        <v>0.61538461538461542</v>
      </c>
      <c r="O70">
        <v>39372</v>
      </c>
      <c r="P70" t="str">
        <f t="shared" si="5"/>
        <v>No</v>
      </c>
      <c r="Q70">
        <v>8</v>
      </c>
      <c r="R70" t="s">
        <v>12</v>
      </c>
    </row>
    <row r="71" spans="1:18" x14ac:dyDescent="0.25">
      <c r="A71" t="s">
        <v>107</v>
      </c>
      <c r="B71" t="s">
        <v>14</v>
      </c>
      <c r="C71" t="s">
        <v>20</v>
      </c>
      <c r="D71" t="s">
        <v>9</v>
      </c>
      <c r="E71" t="s">
        <v>34</v>
      </c>
      <c r="F71" s="2">
        <v>45744</v>
      </c>
      <c r="G71" t="str">
        <f t="shared" si="3"/>
        <v>March</v>
      </c>
      <c r="H71" t="s">
        <v>22</v>
      </c>
      <c r="I71">
        <v>8</v>
      </c>
      <c r="J71">
        <v>0</v>
      </c>
      <c r="K71">
        <v>18</v>
      </c>
      <c r="L71">
        <v>4</v>
      </c>
      <c r="M71">
        <v>18</v>
      </c>
      <c r="N71" s="4">
        <f t="shared" si="4"/>
        <v>1</v>
      </c>
      <c r="O71">
        <v>42577</v>
      </c>
      <c r="P71" t="str">
        <f t="shared" si="5"/>
        <v>Yes</v>
      </c>
      <c r="Q71">
        <v>4</v>
      </c>
      <c r="R71" t="s">
        <v>26</v>
      </c>
    </row>
    <row r="72" spans="1:18" x14ac:dyDescent="0.25">
      <c r="A72" t="s">
        <v>108</v>
      </c>
      <c r="B72" t="s">
        <v>7</v>
      </c>
      <c r="C72" t="s">
        <v>29</v>
      </c>
      <c r="D72" t="s">
        <v>16</v>
      </c>
      <c r="E72" t="s">
        <v>42</v>
      </c>
      <c r="F72" s="2">
        <v>45745</v>
      </c>
      <c r="G72" t="str">
        <f t="shared" si="3"/>
        <v>March</v>
      </c>
      <c r="H72" t="s">
        <v>40</v>
      </c>
      <c r="I72">
        <v>0</v>
      </c>
      <c r="J72">
        <v>0</v>
      </c>
      <c r="K72">
        <v>0</v>
      </c>
      <c r="L72">
        <v>7</v>
      </c>
      <c r="M72">
        <v>12</v>
      </c>
      <c r="N72" s="4">
        <f t="shared" si="4"/>
        <v>0</v>
      </c>
      <c r="O72">
        <v>40587</v>
      </c>
      <c r="P72" t="str">
        <f t="shared" si="5"/>
        <v>No</v>
      </c>
      <c r="Q72">
        <v>7</v>
      </c>
      <c r="R72" t="s">
        <v>26</v>
      </c>
    </row>
    <row r="73" spans="1:18" x14ac:dyDescent="0.25">
      <c r="A73" t="s">
        <v>109</v>
      </c>
      <c r="B73" t="s">
        <v>14</v>
      </c>
      <c r="C73" t="s">
        <v>15</v>
      </c>
      <c r="D73" t="s">
        <v>9</v>
      </c>
      <c r="E73" t="s">
        <v>21</v>
      </c>
      <c r="F73" s="2">
        <v>45746</v>
      </c>
      <c r="G73" t="str">
        <f t="shared" si="3"/>
        <v>March</v>
      </c>
      <c r="H73" t="s">
        <v>22</v>
      </c>
      <c r="I73">
        <v>8</v>
      </c>
      <c r="J73">
        <v>1</v>
      </c>
      <c r="K73">
        <v>5</v>
      </c>
      <c r="L73">
        <v>8</v>
      </c>
      <c r="M73">
        <v>20</v>
      </c>
      <c r="N73" s="4">
        <f t="shared" si="4"/>
        <v>0.25</v>
      </c>
      <c r="O73">
        <v>43827</v>
      </c>
      <c r="P73" t="str">
        <f t="shared" si="5"/>
        <v>No</v>
      </c>
      <c r="Q73">
        <v>8</v>
      </c>
      <c r="R73" t="s">
        <v>12</v>
      </c>
    </row>
    <row r="74" spans="1:18" x14ac:dyDescent="0.25">
      <c r="A74" t="s">
        <v>110</v>
      </c>
      <c r="B74" t="s">
        <v>36</v>
      </c>
      <c r="C74" t="s">
        <v>20</v>
      </c>
      <c r="D74" t="s">
        <v>49</v>
      </c>
      <c r="E74" t="s">
        <v>42</v>
      </c>
      <c r="F74" s="2">
        <v>45747</v>
      </c>
      <c r="G74" t="str">
        <f t="shared" si="3"/>
        <v>March</v>
      </c>
      <c r="H74" t="s">
        <v>30</v>
      </c>
      <c r="I74">
        <v>0</v>
      </c>
      <c r="J74">
        <v>0</v>
      </c>
      <c r="K74">
        <v>0</v>
      </c>
      <c r="L74">
        <v>5</v>
      </c>
      <c r="M74">
        <v>13</v>
      </c>
      <c r="N74" s="4">
        <f t="shared" si="4"/>
        <v>0</v>
      </c>
      <c r="O74">
        <v>45371</v>
      </c>
      <c r="P74" t="str">
        <f t="shared" si="5"/>
        <v>No</v>
      </c>
      <c r="Q74">
        <v>5</v>
      </c>
      <c r="R74" t="s">
        <v>17</v>
      </c>
    </row>
    <row r="75" spans="1:18" x14ac:dyDescent="0.25">
      <c r="A75" t="s">
        <v>111</v>
      </c>
      <c r="B75" t="s">
        <v>36</v>
      </c>
      <c r="C75" t="s">
        <v>29</v>
      </c>
      <c r="D75" t="s">
        <v>16</v>
      </c>
      <c r="E75" t="s">
        <v>34</v>
      </c>
      <c r="F75" s="2">
        <v>45748</v>
      </c>
      <c r="G75" t="str">
        <f t="shared" si="3"/>
        <v>April</v>
      </c>
      <c r="H75" t="s">
        <v>22</v>
      </c>
      <c r="I75">
        <v>8</v>
      </c>
      <c r="J75">
        <v>1</v>
      </c>
      <c r="K75">
        <v>8</v>
      </c>
      <c r="L75">
        <v>7</v>
      </c>
      <c r="M75">
        <v>12</v>
      </c>
      <c r="N75" s="4">
        <f t="shared" si="4"/>
        <v>0.66666666666666663</v>
      </c>
      <c r="O75">
        <v>45440</v>
      </c>
      <c r="P75" t="str">
        <f t="shared" si="5"/>
        <v>No</v>
      </c>
      <c r="Q75">
        <v>7</v>
      </c>
      <c r="R75" t="s">
        <v>17</v>
      </c>
    </row>
    <row r="76" spans="1:18" x14ac:dyDescent="0.25">
      <c r="A76" t="s">
        <v>112</v>
      </c>
      <c r="B76" t="s">
        <v>28</v>
      </c>
      <c r="C76" t="s">
        <v>8</v>
      </c>
      <c r="D76" t="s">
        <v>9</v>
      </c>
      <c r="E76" t="s">
        <v>10</v>
      </c>
      <c r="F76" s="2">
        <v>45749</v>
      </c>
      <c r="G76" t="str">
        <f t="shared" si="3"/>
        <v>April</v>
      </c>
      <c r="H76" t="s">
        <v>11</v>
      </c>
      <c r="I76">
        <v>8</v>
      </c>
      <c r="J76">
        <v>0</v>
      </c>
      <c r="K76">
        <v>20</v>
      </c>
      <c r="L76">
        <v>8</v>
      </c>
      <c r="M76">
        <v>13</v>
      </c>
      <c r="N76" s="4">
        <f t="shared" si="4"/>
        <v>1.5384615384615385</v>
      </c>
      <c r="O76">
        <v>41070</v>
      </c>
      <c r="P76" t="str">
        <f t="shared" si="5"/>
        <v>Yes</v>
      </c>
      <c r="Q76">
        <v>8</v>
      </c>
      <c r="R76" t="s">
        <v>12</v>
      </c>
    </row>
    <row r="77" spans="1:18" x14ac:dyDescent="0.25">
      <c r="A77" t="s">
        <v>113</v>
      </c>
      <c r="B77" t="s">
        <v>19</v>
      </c>
      <c r="C77" t="s">
        <v>8</v>
      </c>
      <c r="D77" t="s">
        <v>16</v>
      </c>
      <c r="E77" t="s">
        <v>42</v>
      </c>
      <c r="F77" s="2">
        <v>45750</v>
      </c>
      <c r="G77" t="str">
        <f t="shared" si="3"/>
        <v>April</v>
      </c>
      <c r="H77" t="s">
        <v>40</v>
      </c>
      <c r="I77">
        <v>0</v>
      </c>
      <c r="J77">
        <v>0</v>
      </c>
      <c r="K77">
        <v>0</v>
      </c>
      <c r="L77">
        <v>6</v>
      </c>
      <c r="M77">
        <v>10</v>
      </c>
      <c r="N77" s="4">
        <f t="shared" si="4"/>
        <v>0</v>
      </c>
      <c r="O77">
        <v>31529</v>
      </c>
      <c r="P77" t="str">
        <f t="shared" si="5"/>
        <v>No</v>
      </c>
      <c r="Q77">
        <v>6</v>
      </c>
      <c r="R77" t="s">
        <v>17</v>
      </c>
    </row>
    <row r="78" spans="1:18" x14ac:dyDescent="0.25">
      <c r="A78" t="s">
        <v>114</v>
      </c>
      <c r="B78" t="s">
        <v>7</v>
      </c>
      <c r="C78" t="s">
        <v>29</v>
      </c>
      <c r="D78" t="s">
        <v>9</v>
      </c>
      <c r="E78" t="s">
        <v>42</v>
      </c>
      <c r="F78" s="2">
        <v>45751</v>
      </c>
      <c r="G78" t="str">
        <f t="shared" si="3"/>
        <v>April</v>
      </c>
      <c r="H78" t="s">
        <v>22</v>
      </c>
      <c r="I78">
        <v>8</v>
      </c>
      <c r="J78">
        <v>2</v>
      </c>
      <c r="K78">
        <v>18</v>
      </c>
      <c r="L78">
        <v>3</v>
      </c>
      <c r="M78">
        <v>10</v>
      </c>
      <c r="N78" s="4">
        <f t="shared" si="4"/>
        <v>1.8</v>
      </c>
      <c r="O78">
        <v>40503</v>
      </c>
      <c r="P78" t="str">
        <f t="shared" si="5"/>
        <v>Yes</v>
      </c>
      <c r="Q78">
        <v>3</v>
      </c>
      <c r="R78" t="s">
        <v>23</v>
      </c>
    </row>
    <row r="79" spans="1:18" x14ac:dyDescent="0.25">
      <c r="A79" t="s">
        <v>115</v>
      </c>
      <c r="B79" t="s">
        <v>32</v>
      </c>
      <c r="C79" t="s">
        <v>29</v>
      </c>
      <c r="D79" t="s">
        <v>49</v>
      </c>
      <c r="E79" t="s">
        <v>34</v>
      </c>
      <c r="F79" s="2">
        <v>45752</v>
      </c>
      <c r="G79" t="str">
        <f t="shared" si="3"/>
        <v>April</v>
      </c>
      <c r="H79" t="s">
        <v>30</v>
      </c>
      <c r="I79">
        <v>0</v>
      </c>
      <c r="J79">
        <v>0</v>
      </c>
      <c r="K79">
        <v>0</v>
      </c>
      <c r="L79">
        <v>7</v>
      </c>
      <c r="M79">
        <v>16</v>
      </c>
      <c r="N79" s="4">
        <f t="shared" si="4"/>
        <v>0</v>
      </c>
      <c r="O79">
        <v>25688</v>
      </c>
      <c r="P79" t="str">
        <f t="shared" si="5"/>
        <v>No</v>
      </c>
      <c r="Q79">
        <v>7</v>
      </c>
      <c r="R79" t="s">
        <v>17</v>
      </c>
    </row>
    <row r="80" spans="1:18" x14ac:dyDescent="0.25">
      <c r="A80" t="s">
        <v>116</v>
      </c>
      <c r="B80" t="s">
        <v>7</v>
      </c>
      <c r="C80" t="s">
        <v>29</v>
      </c>
      <c r="D80" t="s">
        <v>37</v>
      </c>
      <c r="E80" t="s">
        <v>34</v>
      </c>
      <c r="F80" s="2">
        <v>45753</v>
      </c>
      <c r="G80" t="str">
        <f t="shared" si="3"/>
        <v>April</v>
      </c>
      <c r="H80" t="s">
        <v>30</v>
      </c>
      <c r="I80">
        <v>0</v>
      </c>
      <c r="J80">
        <v>0</v>
      </c>
      <c r="K80">
        <v>0</v>
      </c>
      <c r="L80">
        <v>8</v>
      </c>
      <c r="M80">
        <v>16</v>
      </c>
      <c r="N80" s="4">
        <f t="shared" si="4"/>
        <v>0</v>
      </c>
      <c r="O80">
        <v>39505</v>
      </c>
      <c r="P80" t="str">
        <f t="shared" si="5"/>
        <v>No</v>
      </c>
      <c r="Q80">
        <v>8</v>
      </c>
      <c r="R80" t="s">
        <v>12</v>
      </c>
    </row>
    <row r="81" spans="1:18" x14ac:dyDescent="0.25">
      <c r="A81" t="s">
        <v>117</v>
      </c>
      <c r="B81" t="s">
        <v>66</v>
      </c>
      <c r="C81" t="s">
        <v>20</v>
      </c>
      <c r="D81" t="s">
        <v>45</v>
      </c>
      <c r="E81" t="s">
        <v>10</v>
      </c>
      <c r="F81" s="2">
        <v>45754</v>
      </c>
      <c r="G81" t="str">
        <f t="shared" si="3"/>
        <v>April</v>
      </c>
      <c r="H81" t="s">
        <v>11</v>
      </c>
      <c r="I81">
        <v>8</v>
      </c>
      <c r="J81">
        <v>0</v>
      </c>
      <c r="K81">
        <v>7</v>
      </c>
      <c r="L81">
        <v>3</v>
      </c>
      <c r="M81">
        <v>17</v>
      </c>
      <c r="N81" s="4">
        <f t="shared" si="4"/>
        <v>0.41176470588235292</v>
      </c>
      <c r="O81">
        <v>47678</v>
      </c>
      <c r="P81" t="str">
        <f t="shared" si="5"/>
        <v>No</v>
      </c>
      <c r="Q81">
        <v>3</v>
      </c>
      <c r="R81" t="s">
        <v>23</v>
      </c>
    </row>
    <row r="82" spans="1:18" x14ac:dyDescent="0.25">
      <c r="A82" t="s">
        <v>118</v>
      </c>
      <c r="B82" t="s">
        <v>39</v>
      </c>
      <c r="C82" t="s">
        <v>15</v>
      </c>
      <c r="D82" t="s">
        <v>37</v>
      </c>
      <c r="E82" t="s">
        <v>34</v>
      </c>
      <c r="F82" s="2">
        <v>45755</v>
      </c>
      <c r="G82" t="str">
        <f t="shared" si="3"/>
        <v>April</v>
      </c>
      <c r="H82" t="s">
        <v>30</v>
      </c>
      <c r="I82">
        <v>0</v>
      </c>
      <c r="J82">
        <v>0</v>
      </c>
      <c r="K82">
        <v>0</v>
      </c>
      <c r="L82">
        <v>3</v>
      </c>
      <c r="M82">
        <v>10</v>
      </c>
      <c r="N82" s="4">
        <f t="shared" si="4"/>
        <v>0</v>
      </c>
      <c r="O82">
        <v>39491</v>
      </c>
      <c r="P82" t="str">
        <f t="shared" si="5"/>
        <v>No</v>
      </c>
      <c r="Q82">
        <v>3</v>
      </c>
      <c r="R82" t="s">
        <v>23</v>
      </c>
    </row>
    <row r="83" spans="1:18" x14ac:dyDescent="0.25">
      <c r="A83" t="s">
        <v>119</v>
      </c>
      <c r="B83" t="s">
        <v>39</v>
      </c>
      <c r="C83" t="s">
        <v>15</v>
      </c>
      <c r="D83" t="s">
        <v>45</v>
      </c>
      <c r="E83" t="s">
        <v>21</v>
      </c>
      <c r="F83" s="2">
        <v>45756</v>
      </c>
      <c r="G83" t="str">
        <f t="shared" si="3"/>
        <v>April</v>
      </c>
      <c r="H83" t="s">
        <v>22</v>
      </c>
      <c r="I83">
        <v>8</v>
      </c>
      <c r="J83">
        <v>1</v>
      </c>
      <c r="K83">
        <v>10</v>
      </c>
      <c r="L83">
        <v>5</v>
      </c>
      <c r="M83">
        <v>19</v>
      </c>
      <c r="N83" s="4">
        <f t="shared" si="4"/>
        <v>0.52631578947368418</v>
      </c>
      <c r="O83">
        <v>27300</v>
      </c>
      <c r="P83" t="str">
        <f t="shared" si="5"/>
        <v>No</v>
      </c>
      <c r="Q83">
        <v>5</v>
      </c>
      <c r="R83" t="s">
        <v>17</v>
      </c>
    </row>
    <row r="84" spans="1:18" x14ac:dyDescent="0.25">
      <c r="A84" t="s">
        <v>120</v>
      </c>
      <c r="B84" t="s">
        <v>7</v>
      </c>
      <c r="C84" t="s">
        <v>29</v>
      </c>
      <c r="D84" t="s">
        <v>33</v>
      </c>
      <c r="E84" t="s">
        <v>42</v>
      </c>
      <c r="F84" s="2">
        <v>45757</v>
      </c>
      <c r="G84" t="str">
        <f t="shared" si="3"/>
        <v>April</v>
      </c>
      <c r="H84" t="s">
        <v>22</v>
      </c>
      <c r="I84">
        <v>8</v>
      </c>
      <c r="J84">
        <v>1</v>
      </c>
      <c r="K84">
        <v>5</v>
      </c>
      <c r="L84">
        <v>5</v>
      </c>
      <c r="M84">
        <v>15</v>
      </c>
      <c r="N84" s="4">
        <f t="shared" si="4"/>
        <v>0.33333333333333331</v>
      </c>
      <c r="O84">
        <v>46788</v>
      </c>
      <c r="P84" t="str">
        <f t="shared" si="5"/>
        <v>No</v>
      </c>
      <c r="Q84">
        <v>5</v>
      </c>
      <c r="R84" t="s">
        <v>17</v>
      </c>
    </row>
    <row r="85" spans="1:18" x14ac:dyDescent="0.25">
      <c r="A85" t="s">
        <v>121</v>
      </c>
      <c r="B85" t="s">
        <v>19</v>
      </c>
      <c r="C85" t="s">
        <v>8</v>
      </c>
      <c r="D85" t="s">
        <v>9</v>
      </c>
      <c r="E85" t="s">
        <v>21</v>
      </c>
      <c r="F85" s="2">
        <v>45758</v>
      </c>
      <c r="G85" t="str">
        <f t="shared" si="3"/>
        <v>April</v>
      </c>
      <c r="H85" t="s">
        <v>30</v>
      </c>
      <c r="I85">
        <v>0</v>
      </c>
      <c r="J85">
        <v>0</v>
      </c>
      <c r="K85">
        <v>0</v>
      </c>
      <c r="L85">
        <v>4</v>
      </c>
      <c r="M85">
        <v>10</v>
      </c>
      <c r="N85" s="4">
        <f t="shared" si="4"/>
        <v>0</v>
      </c>
      <c r="O85">
        <v>42962</v>
      </c>
      <c r="P85" t="str">
        <f t="shared" si="5"/>
        <v>No</v>
      </c>
      <c r="Q85">
        <v>4</v>
      </c>
      <c r="R85" t="s">
        <v>26</v>
      </c>
    </row>
    <row r="86" spans="1:18" x14ac:dyDescent="0.25">
      <c r="A86" t="s">
        <v>122</v>
      </c>
      <c r="B86" t="s">
        <v>28</v>
      </c>
      <c r="C86" t="s">
        <v>15</v>
      </c>
      <c r="D86" t="s">
        <v>49</v>
      </c>
      <c r="E86" t="s">
        <v>42</v>
      </c>
      <c r="F86" s="2">
        <v>45759</v>
      </c>
      <c r="G86" t="str">
        <f t="shared" si="3"/>
        <v>April</v>
      </c>
      <c r="H86" t="s">
        <v>40</v>
      </c>
      <c r="I86">
        <v>0</v>
      </c>
      <c r="J86">
        <v>0</v>
      </c>
      <c r="K86">
        <v>0</v>
      </c>
      <c r="L86">
        <v>7</v>
      </c>
      <c r="M86">
        <v>20</v>
      </c>
      <c r="N86" s="4">
        <f t="shared" si="4"/>
        <v>0</v>
      </c>
      <c r="O86">
        <v>27963</v>
      </c>
      <c r="P86" t="str">
        <f t="shared" si="5"/>
        <v>No</v>
      </c>
      <c r="Q86">
        <v>7</v>
      </c>
      <c r="R86" t="s">
        <v>17</v>
      </c>
    </row>
    <row r="87" spans="1:18" x14ac:dyDescent="0.25">
      <c r="A87" t="s">
        <v>123</v>
      </c>
      <c r="B87" t="s">
        <v>66</v>
      </c>
      <c r="C87" t="s">
        <v>8</v>
      </c>
      <c r="D87" t="s">
        <v>45</v>
      </c>
      <c r="E87" t="s">
        <v>21</v>
      </c>
      <c r="F87" s="2">
        <v>45760</v>
      </c>
      <c r="G87" t="str">
        <f t="shared" si="3"/>
        <v>April</v>
      </c>
      <c r="H87" t="s">
        <v>30</v>
      </c>
      <c r="I87">
        <v>0</v>
      </c>
      <c r="J87">
        <v>0</v>
      </c>
      <c r="K87">
        <v>0</v>
      </c>
      <c r="L87">
        <v>6</v>
      </c>
      <c r="M87">
        <v>14</v>
      </c>
      <c r="N87" s="4">
        <f t="shared" si="4"/>
        <v>0</v>
      </c>
      <c r="O87">
        <v>38219</v>
      </c>
      <c r="P87" t="str">
        <f t="shared" si="5"/>
        <v>No</v>
      </c>
      <c r="Q87">
        <v>6</v>
      </c>
      <c r="R87" t="s">
        <v>26</v>
      </c>
    </row>
    <row r="88" spans="1:18" x14ac:dyDescent="0.25">
      <c r="A88" t="s">
        <v>124</v>
      </c>
      <c r="B88" t="s">
        <v>66</v>
      </c>
      <c r="C88" t="s">
        <v>29</v>
      </c>
      <c r="D88" t="s">
        <v>45</v>
      </c>
      <c r="E88" t="s">
        <v>34</v>
      </c>
      <c r="F88" s="2">
        <v>45761</v>
      </c>
      <c r="G88" t="str">
        <f t="shared" si="3"/>
        <v>April</v>
      </c>
      <c r="H88" t="s">
        <v>30</v>
      </c>
      <c r="I88">
        <v>0</v>
      </c>
      <c r="J88">
        <v>0</v>
      </c>
      <c r="K88">
        <v>0</v>
      </c>
      <c r="L88">
        <v>9</v>
      </c>
      <c r="M88">
        <v>13</v>
      </c>
      <c r="N88" s="4">
        <f t="shared" si="4"/>
        <v>0</v>
      </c>
      <c r="O88">
        <v>35459</v>
      </c>
      <c r="P88" t="str">
        <f t="shared" si="5"/>
        <v>No</v>
      </c>
      <c r="Q88">
        <v>9</v>
      </c>
      <c r="R88" t="s">
        <v>12</v>
      </c>
    </row>
    <row r="89" spans="1:18" x14ac:dyDescent="0.25">
      <c r="A89" t="s">
        <v>125</v>
      </c>
      <c r="B89" t="s">
        <v>36</v>
      </c>
      <c r="C89" t="s">
        <v>20</v>
      </c>
      <c r="D89" t="s">
        <v>45</v>
      </c>
      <c r="E89" t="s">
        <v>10</v>
      </c>
      <c r="F89" s="2">
        <v>45762</v>
      </c>
      <c r="G89" t="str">
        <f t="shared" si="3"/>
        <v>April</v>
      </c>
      <c r="H89" t="s">
        <v>30</v>
      </c>
      <c r="I89">
        <v>0</v>
      </c>
      <c r="J89">
        <v>0</v>
      </c>
      <c r="K89">
        <v>0</v>
      </c>
      <c r="L89">
        <v>5</v>
      </c>
      <c r="M89">
        <v>19</v>
      </c>
      <c r="N89" s="4">
        <f t="shared" si="4"/>
        <v>0</v>
      </c>
      <c r="O89">
        <v>36433</v>
      </c>
      <c r="P89" t="str">
        <f t="shared" si="5"/>
        <v>No</v>
      </c>
      <c r="Q89">
        <v>5</v>
      </c>
      <c r="R89" t="s">
        <v>26</v>
      </c>
    </row>
    <row r="90" spans="1:18" x14ac:dyDescent="0.25">
      <c r="A90" t="s">
        <v>126</v>
      </c>
      <c r="B90" t="s">
        <v>44</v>
      </c>
      <c r="C90" t="s">
        <v>8</v>
      </c>
      <c r="D90" t="s">
        <v>16</v>
      </c>
      <c r="E90" t="s">
        <v>21</v>
      </c>
      <c r="F90" s="2">
        <v>45763</v>
      </c>
      <c r="G90" t="str">
        <f t="shared" si="3"/>
        <v>April</v>
      </c>
      <c r="H90" t="s">
        <v>30</v>
      </c>
      <c r="I90">
        <v>0</v>
      </c>
      <c r="J90">
        <v>0</v>
      </c>
      <c r="K90">
        <v>0</v>
      </c>
      <c r="L90">
        <v>7</v>
      </c>
      <c r="M90">
        <v>18</v>
      </c>
      <c r="N90" s="4">
        <f t="shared" si="4"/>
        <v>0</v>
      </c>
      <c r="O90">
        <v>42097</v>
      </c>
      <c r="P90" t="str">
        <f t="shared" si="5"/>
        <v>No</v>
      </c>
      <c r="Q90">
        <v>7</v>
      </c>
      <c r="R90" t="s">
        <v>17</v>
      </c>
    </row>
    <row r="91" spans="1:18" x14ac:dyDescent="0.25">
      <c r="A91" t="s">
        <v>127</v>
      </c>
      <c r="B91" t="s">
        <v>25</v>
      </c>
      <c r="C91" t="s">
        <v>8</v>
      </c>
      <c r="D91" t="s">
        <v>45</v>
      </c>
      <c r="E91" t="s">
        <v>21</v>
      </c>
      <c r="F91" s="2">
        <v>45764</v>
      </c>
      <c r="G91" t="str">
        <f t="shared" si="3"/>
        <v>April</v>
      </c>
      <c r="H91" t="s">
        <v>11</v>
      </c>
      <c r="I91">
        <v>8</v>
      </c>
      <c r="J91">
        <v>0</v>
      </c>
      <c r="K91">
        <v>10</v>
      </c>
      <c r="L91">
        <v>5</v>
      </c>
      <c r="M91">
        <v>13</v>
      </c>
      <c r="N91" s="4">
        <f t="shared" si="4"/>
        <v>0.76923076923076927</v>
      </c>
      <c r="O91">
        <v>42620</v>
      </c>
      <c r="P91" t="str">
        <f t="shared" si="5"/>
        <v>No</v>
      </c>
      <c r="Q91">
        <v>5</v>
      </c>
      <c r="R91" t="s">
        <v>17</v>
      </c>
    </row>
    <row r="92" spans="1:18" x14ac:dyDescent="0.25">
      <c r="A92" t="s">
        <v>128</v>
      </c>
      <c r="B92" t="s">
        <v>36</v>
      </c>
      <c r="C92" t="s">
        <v>29</v>
      </c>
      <c r="D92" t="s">
        <v>9</v>
      </c>
      <c r="E92" t="s">
        <v>34</v>
      </c>
      <c r="F92" s="2">
        <v>45765</v>
      </c>
      <c r="G92" t="str">
        <f t="shared" si="3"/>
        <v>April</v>
      </c>
      <c r="H92" t="s">
        <v>30</v>
      </c>
      <c r="I92">
        <v>0</v>
      </c>
      <c r="J92">
        <v>0</v>
      </c>
      <c r="K92">
        <v>0</v>
      </c>
      <c r="L92">
        <v>6</v>
      </c>
      <c r="M92">
        <v>15</v>
      </c>
      <c r="N92" s="4">
        <f t="shared" si="4"/>
        <v>0</v>
      </c>
      <c r="O92">
        <v>30358</v>
      </c>
      <c r="P92" t="str">
        <f t="shared" si="5"/>
        <v>No</v>
      </c>
      <c r="Q92">
        <v>6</v>
      </c>
      <c r="R92" t="s">
        <v>17</v>
      </c>
    </row>
    <row r="93" spans="1:18" x14ac:dyDescent="0.25">
      <c r="A93" t="s">
        <v>129</v>
      </c>
      <c r="B93" t="s">
        <v>7</v>
      </c>
      <c r="C93" t="s">
        <v>8</v>
      </c>
      <c r="D93" t="s">
        <v>49</v>
      </c>
      <c r="E93" t="s">
        <v>10</v>
      </c>
      <c r="F93" s="2">
        <v>45766</v>
      </c>
      <c r="G93" t="str">
        <f t="shared" si="3"/>
        <v>April</v>
      </c>
      <c r="H93" t="s">
        <v>22</v>
      </c>
      <c r="I93">
        <v>8</v>
      </c>
      <c r="J93">
        <v>1</v>
      </c>
      <c r="K93">
        <v>5</v>
      </c>
      <c r="L93">
        <v>7</v>
      </c>
      <c r="M93">
        <v>15</v>
      </c>
      <c r="N93" s="4">
        <f t="shared" si="4"/>
        <v>0.33333333333333331</v>
      </c>
      <c r="O93">
        <v>47613</v>
      </c>
      <c r="P93" t="str">
        <f t="shared" si="5"/>
        <v>No</v>
      </c>
      <c r="Q93">
        <v>7</v>
      </c>
      <c r="R93" t="s">
        <v>17</v>
      </c>
    </row>
    <row r="94" spans="1:18" x14ac:dyDescent="0.25">
      <c r="A94" t="s">
        <v>130</v>
      </c>
      <c r="B94" t="s">
        <v>32</v>
      </c>
      <c r="C94" t="s">
        <v>29</v>
      </c>
      <c r="D94" t="s">
        <v>33</v>
      </c>
      <c r="E94" t="s">
        <v>10</v>
      </c>
      <c r="F94" s="2">
        <v>45767</v>
      </c>
      <c r="G94" t="str">
        <f t="shared" si="3"/>
        <v>April</v>
      </c>
      <c r="H94" t="s">
        <v>11</v>
      </c>
      <c r="I94">
        <v>8</v>
      </c>
      <c r="J94">
        <v>0</v>
      </c>
      <c r="K94">
        <v>9</v>
      </c>
      <c r="L94">
        <v>6</v>
      </c>
      <c r="M94">
        <v>17</v>
      </c>
      <c r="N94" s="4">
        <f t="shared" si="4"/>
        <v>0.52941176470588236</v>
      </c>
      <c r="O94">
        <v>35431</v>
      </c>
      <c r="P94" t="str">
        <f t="shared" si="5"/>
        <v>No</v>
      </c>
      <c r="Q94">
        <v>6</v>
      </c>
      <c r="R94" t="s">
        <v>17</v>
      </c>
    </row>
    <row r="95" spans="1:18" x14ac:dyDescent="0.25">
      <c r="A95" t="s">
        <v>131</v>
      </c>
      <c r="B95" t="s">
        <v>28</v>
      </c>
      <c r="C95" t="s">
        <v>8</v>
      </c>
      <c r="D95" t="s">
        <v>49</v>
      </c>
      <c r="E95" t="s">
        <v>21</v>
      </c>
      <c r="F95" s="2">
        <v>45768</v>
      </c>
      <c r="G95" t="str">
        <f t="shared" si="3"/>
        <v>April</v>
      </c>
      <c r="H95" t="s">
        <v>11</v>
      </c>
      <c r="I95">
        <v>8</v>
      </c>
      <c r="J95">
        <v>0</v>
      </c>
      <c r="K95">
        <v>15</v>
      </c>
      <c r="L95">
        <v>6</v>
      </c>
      <c r="M95">
        <v>17</v>
      </c>
      <c r="N95" s="4">
        <f t="shared" si="4"/>
        <v>0.88235294117647056</v>
      </c>
      <c r="O95">
        <v>43386</v>
      </c>
      <c r="P95" t="str">
        <f t="shared" si="5"/>
        <v>No</v>
      </c>
      <c r="Q95">
        <v>6</v>
      </c>
      <c r="R95" t="s">
        <v>26</v>
      </c>
    </row>
    <row r="96" spans="1:18" x14ac:dyDescent="0.25">
      <c r="A96" t="s">
        <v>132</v>
      </c>
      <c r="B96" t="s">
        <v>66</v>
      </c>
      <c r="C96" t="s">
        <v>20</v>
      </c>
      <c r="D96" t="s">
        <v>33</v>
      </c>
      <c r="E96" t="s">
        <v>42</v>
      </c>
      <c r="F96" s="2">
        <v>45769</v>
      </c>
      <c r="G96" t="str">
        <f t="shared" si="3"/>
        <v>April</v>
      </c>
      <c r="H96" t="s">
        <v>22</v>
      </c>
      <c r="I96">
        <v>8</v>
      </c>
      <c r="J96">
        <v>3</v>
      </c>
      <c r="K96">
        <v>20</v>
      </c>
      <c r="L96">
        <v>5</v>
      </c>
      <c r="M96">
        <v>11</v>
      </c>
      <c r="N96" s="4">
        <f t="shared" si="4"/>
        <v>1.8181818181818181</v>
      </c>
      <c r="O96">
        <v>28820</v>
      </c>
      <c r="P96" t="str">
        <f t="shared" si="5"/>
        <v>Yes</v>
      </c>
      <c r="Q96">
        <v>5</v>
      </c>
      <c r="R96" t="s">
        <v>17</v>
      </c>
    </row>
    <row r="97" spans="1:18" x14ac:dyDescent="0.25">
      <c r="A97" t="s">
        <v>133</v>
      </c>
      <c r="B97" t="s">
        <v>28</v>
      </c>
      <c r="C97" t="s">
        <v>20</v>
      </c>
      <c r="D97" t="s">
        <v>45</v>
      </c>
      <c r="E97" t="s">
        <v>42</v>
      </c>
      <c r="F97" s="2">
        <v>45770</v>
      </c>
      <c r="G97" t="str">
        <f t="shared" si="3"/>
        <v>April</v>
      </c>
      <c r="H97" t="s">
        <v>40</v>
      </c>
      <c r="I97">
        <v>0</v>
      </c>
      <c r="J97">
        <v>0</v>
      </c>
      <c r="K97">
        <v>0</v>
      </c>
      <c r="L97">
        <v>7</v>
      </c>
      <c r="M97">
        <v>10</v>
      </c>
      <c r="N97" s="4">
        <f t="shared" si="4"/>
        <v>0</v>
      </c>
      <c r="O97">
        <v>26679</v>
      </c>
      <c r="P97" t="str">
        <f t="shared" si="5"/>
        <v>No</v>
      </c>
      <c r="Q97">
        <v>7</v>
      </c>
      <c r="R97" t="s">
        <v>17</v>
      </c>
    </row>
    <row r="98" spans="1:18" x14ac:dyDescent="0.25">
      <c r="A98" t="s">
        <v>134</v>
      </c>
      <c r="B98" t="s">
        <v>39</v>
      </c>
      <c r="C98" t="s">
        <v>29</v>
      </c>
      <c r="D98" t="s">
        <v>16</v>
      </c>
      <c r="E98" t="s">
        <v>21</v>
      </c>
      <c r="F98" s="2">
        <v>45771</v>
      </c>
      <c r="G98" t="str">
        <f t="shared" si="3"/>
        <v>April</v>
      </c>
      <c r="H98" t="s">
        <v>11</v>
      </c>
      <c r="I98">
        <v>8</v>
      </c>
      <c r="J98">
        <v>0</v>
      </c>
      <c r="K98">
        <v>9</v>
      </c>
      <c r="L98">
        <v>7</v>
      </c>
      <c r="M98">
        <v>10</v>
      </c>
      <c r="N98" s="4">
        <f t="shared" si="4"/>
        <v>0.9</v>
      </c>
      <c r="O98">
        <v>32438</v>
      </c>
      <c r="P98" t="str">
        <f t="shared" si="5"/>
        <v>Yes</v>
      </c>
      <c r="Q98">
        <v>7</v>
      </c>
      <c r="R98" t="s">
        <v>17</v>
      </c>
    </row>
    <row r="99" spans="1:18" x14ac:dyDescent="0.25">
      <c r="A99" t="s">
        <v>135</v>
      </c>
      <c r="B99" t="s">
        <v>66</v>
      </c>
      <c r="C99" t="s">
        <v>29</v>
      </c>
      <c r="D99" t="s">
        <v>33</v>
      </c>
      <c r="E99" t="s">
        <v>42</v>
      </c>
      <c r="F99" s="2">
        <v>45772</v>
      </c>
      <c r="G99" t="str">
        <f t="shared" si="3"/>
        <v>April</v>
      </c>
      <c r="H99" t="s">
        <v>40</v>
      </c>
      <c r="I99">
        <v>0</v>
      </c>
      <c r="J99">
        <v>0</v>
      </c>
      <c r="K99">
        <v>0</v>
      </c>
      <c r="L99">
        <v>7</v>
      </c>
      <c r="M99">
        <v>14</v>
      </c>
      <c r="N99" s="4">
        <f t="shared" si="4"/>
        <v>0</v>
      </c>
      <c r="O99">
        <v>26348</v>
      </c>
      <c r="P99" t="str">
        <f t="shared" si="5"/>
        <v>No</v>
      </c>
      <c r="Q99">
        <v>7</v>
      </c>
      <c r="R99" t="s">
        <v>23</v>
      </c>
    </row>
    <row r="100" spans="1:18" x14ac:dyDescent="0.25">
      <c r="A100" t="s">
        <v>136</v>
      </c>
      <c r="B100" t="s">
        <v>7</v>
      </c>
      <c r="C100" t="s">
        <v>8</v>
      </c>
      <c r="D100" t="s">
        <v>16</v>
      </c>
      <c r="E100" t="s">
        <v>34</v>
      </c>
      <c r="F100" s="2">
        <v>45773</v>
      </c>
      <c r="G100" t="str">
        <f t="shared" si="3"/>
        <v>April</v>
      </c>
      <c r="H100" t="s">
        <v>40</v>
      </c>
      <c r="I100">
        <v>0</v>
      </c>
      <c r="J100">
        <v>0</v>
      </c>
      <c r="K100">
        <v>0</v>
      </c>
      <c r="L100">
        <v>10</v>
      </c>
      <c r="M100">
        <v>13</v>
      </c>
      <c r="N100" s="4">
        <f t="shared" si="4"/>
        <v>0</v>
      </c>
      <c r="O100">
        <v>40354</v>
      </c>
      <c r="P100" t="str">
        <f t="shared" si="5"/>
        <v>No</v>
      </c>
      <c r="Q100">
        <v>10</v>
      </c>
      <c r="R100" t="s">
        <v>12</v>
      </c>
    </row>
    <row r="101" spans="1:18" x14ac:dyDescent="0.25">
      <c r="A101" t="s">
        <v>137</v>
      </c>
      <c r="B101" t="s">
        <v>32</v>
      </c>
      <c r="C101" t="s">
        <v>8</v>
      </c>
      <c r="D101" t="s">
        <v>9</v>
      </c>
      <c r="E101" t="s">
        <v>42</v>
      </c>
      <c r="F101" s="2">
        <v>45774</v>
      </c>
      <c r="G101" t="str">
        <f t="shared" si="3"/>
        <v>April</v>
      </c>
      <c r="H101" t="s">
        <v>22</v>
      </c>
      <c r="I101">
        <v>8</v>
      </c>
      <c r="J101">
        <v>1</v>
      </c>
      <c r="K101">
        <v>16</v>
      </c>
      <c r="L101">
        <v>10</v>
      </c>
      <c r="M101">
        <v>20</v>
      </c>
      <c r="N101" s="4">
        <f t="shared" si="4"/>
        <v>0.8</v>
      </c>
      <c r="O101">
        <v>48904</v>
      </c>
      <c r="P101" t="str">
        <f t="shared" si="5"/>
        <v>No</v>
      </c>
      <c r="Q101">
        <v>10</v>
      </c>
      <c r="R10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87F6-CC00-4831-85F2-8F206D1B6CE9}">
  <dimension ref="A1:W101"/>
  <sheetViews>
    <sheetView zoomScale="56" zoomScaleNormal="28" workbookViewId="0">
      <selection activeCell="K20" sqref="K20"/>
    </sheetView>
  </sheetViews>
  <sheetFormatPr defaultRowHeight="13.8" x14ac:dyDescent="0.25"/>
  <cols>
    <col min="1" max="1" width="13.09765625" customWidth="1"/>
    <col min="2" max="2" width="16.69921875" customWidth="1"/>
    <col min="3" max="3" width="13.5" customWidth="1"/>
    <col min="4" max="4" width="15.09765625" customWidth="1"/>
    <col min="5" max="5" width="14.5" customWidth="1"/>
    <col min="6" max="6" width="19.69921875" customWidth="1"/>
    <col min="7" max="7" width="13.59765625" customWidth="1"/>
    <col min="8" max="8" width="20.296875" customWidth="1"/>
    <col min="9" max="9" width="19.8984375" bestFit="1" customWidth="1"/>
    <col min="10" max="10" width="20.296875" bestFit="1" customWidth="1"/>
    <col min="11" max="11" width="22.69921875" customWidth="1"/>
    <col min="12" max="12" width="22.8984375" customWidth="1"/>
    <col min="13" max="13" width="18.69921875" customWidth="1"/>
    <col min="14" max="14" width="21.5" customWidth="1"/>
    <col min="15" max="15" width="13.796875" customWidth="1"/>
    <col min="16" max="16" width="20.3984375" customWidth="1"/>
    <col min="17" max="17" width="19.296875" customWidth="1"/>
    <col min="18" max="18" width="15.09765625" customWidth="1"/>
    <col min="19" max="19" width="20.69921875" customWidth="1"/>
    <col min="20" max="20" width="28.3984375" customWidth="1"/>
    <col min="21" max="21" width="31.09765625" customWidth="1"/>
    <col min="22" max="22" width="19.09765625" customWidth="1"/>
    <col min="23" max="23" width="11.796875" customWidth="1"/>
    <col min="24" max="24" width="31.3984375" customWidth="1"/>
    <col min="25" max="25" width="22.296875" customWidth="1"/>
    <col min="26" max="26" width="23.5" customWidth="1"/>
    <col min="27" max="27" width="19.296875" customWidth="1"/>
  </cols>
  <sheetData>
    <row r="1" spans="1:23" x14ac:dyDescent="0.25">
      <c r="A1" s="1" t="s">
        <v>138</v>
      </c>
      <c r="B1" s="1" t="s">
        <v>139</v>
      </c>
      <c r="C1" s="1" t="s">
        <v>140</v>
      </c>
      <c r="D1" s="1" t="s">
        <v>141</v>
      </c>
      <c r="E1" s="1" t="s">
        <v>1</v>
      </c>
      <c r="F1" s="3" t="s">
        <v>2</v>
      </c>
      <c r="G1" s="1" t="s">
        <v>3</v>
      </c>
      <c r="H1" s="1" t="s">
        <v>142</v>
      </c>
      <c r="I1" s="1" t="s">
        <v>143</v>
      </c>
      <c r="J1" s="1" t="s">
        <v>144</v>
      </c>
      <c r="K1" s="1" t="s">
        <v>145</v>
      </c>
      <c r="L1" s="1" t="s">
        <v>146</v>
      </c>
      <c r="M1" s="1" t="s">
        <v>147</v>
      </c>
      <c r="N1" s="1" t="s">
        <v>148</v>
      </c>
      <c r="O1" s="1" t="s">
        <v>4</v>
      </c>
      <c r="P1" s="1" t="s">
        <v>149</v>
      </c>
      <c r="Q1" s="1" t="s">
        <v>150</v>
      </c>
      <c r="R1" s="1" t="s">
        <v>5</v>
      </c>
      <c r="S1" s="1" t="s">
        <v>151</v>
      </c>
      <c r="T1" s="1" t="s">
        <v>152</v>
      </c>
      <c r="U1" s="1" t="s">
        <v>153</v>
      </c>
      <c r="V1" s="1" t="s">
        <v>154</v>
      </c>
      <c r="W1" s="1" t="s">
        <v>155</v>
      </c>
    </row>
    <row r="2" spans="1:23" x14ac:dyDescent="0.25">
      <c r="A2" t="s">
        <v>6</v>
      </c>
      <c r="B2" t="s">
        <v>7</v>
      </c>
      <c r="C2" t="s">
        <v>8</v>
      </c>
      <c r="D2" t="s">
        <v>9</v>
      </c>
      <c r="E2" t="s">
        <v>10</v>
      </c>
      <c r="F2" s="2">
        <v>45675</v>
      </c>
      <c r="G2" t="str">
        <f>TEXT(F2,"mmmm")</f>
        <v>January</v>
      </c>
      <c r="H2" t="s">
        <v>11</v>
      </c>
      <c r="I2">
        <v>8</v>
      </c>
      <c r="J2">
        <v>0</v>
      </c>
      <c r="K2">
        <v>10</v>
      </c>
      <c r="L2">
        <v>6</v>
      </c>
      <c r="M2">
        <v>17</v>
      </c>
      <c r="N2" s="4">
        <f>K2/M2</f>
        <v>0.58823529411764708</v>
      </c>
      <c r="O2">
        <v>29441</v>
      </c>
      <c r="P2" t="str">
        <f>IF(N2&gt;=90%,"Yes","No")</f>
        <v>No</v>
      </c>
      <c r="Q2">
        <v>6</v>
      </c>
      <c r="R2" t="s">
        <v>17</v>
      </c>
      <c r="S2" t="str">
        <f t="shared" ref="S2:S33" si="0">PROPER(B2)</f>
        <v>Meena</v>
      </c>
      <c r="T2" t="str">
        <f t="shared" ref="T2:T33" si="1">UPPER(C2)</f>
        <v>IT</v>
      </c>
      <c r="U2" t="str">
        <f t="shared" ref="U2:U33" si="2">PROPER(H2)</f>
        <v>Wfh</v>
      </c>
      <c r="V2" s="4">
        <f t="shared" ref="V2:V33" si="3">IFERROR(N2,0)</f>
        <v>0.58823529411764708</v>
      </c>
      <c r="W2" t="str">
        <f t="shared" ref="W2:W33" si="4">IF(OR(A2="",B2="",C2=""),"Incomplete","OK")</f>
        <v>OK</v>
      </c>
    </row>
    <row r="3" spans="1:23" x14ac:dyDescent="0.25">
      <c r="A3" t="s">
        <v>13</v>
      </c>
      <c r="B3" t="s">
        <v>14</v>
      </c>
      <c r="C3" t="s">
        <v>15</v>
      </c>
      <c r="D3" t="s">
        <v>16</v>
      </c>
      <c r="E3" t="s">
        <v>10</v>
      </c>
      <c r="F3" s="2">
        <v>45676</v>
      </c>
      <c r="G3" t="str">
        <f t="shared" ref="G3:G66" si="5">TEXT(F3,"mmmm")</f>
        <v>January</v>
      </c>
      <c r="H3" t="s">
        <v>11</v>
      </c>
      <c r="I3">
        <v>8</v>
      </c>
      <c r="J3">
        <v>0</v>
      </c>
      <c r="K3">
        <v>20</v>
      </c>
      <c r="L3">
        <v>7</v>
      </c>
      <c r="M3">
        <v>10</v>
      </c>
      <c r="N3" s="4">
        <f t="shared" ref="N3:N66" si="6">K3/M3</f>
        <v>2</v>
      </c>
      <c r="O3">
        <v>47125</v>
      </c>
      <c r="P3" t="str">
        <f t="shared" ref="P3:P66" si="7">IF(N3&gt;=90%,"Yes","No")</f>
        <v>Yes</v>
      </c>
      <c r="Q3">
        <v>7</v>
      </c>
      <c r="R3" t="s">
        <v>17</v>
      </c>
      <c r="S3" t="str">
        <f t="shared" si="0"/>
        <v>Pooja</v>
      </c>
      <c r="T3" t="str">
        <f t="shared" si="1"/>
        <v>FINANCE</v>
      </c>
      <c r="U3" t="str">
        <f t="shared" si="2"/>
        <v>Wfh</v>
      </c>
      <c r="V3" s="4">
        <f t="shared" si="3"/>
        <v>2</v>
      </c>
      <c r="W3" t="str">
        <f t="shared" si="4"/>
        <v>OK</v>
      </c>
    </row>
    <row r="4" spans="1:23" x14ac:dyDescent="0.25">
      <c r="A4" t="s">
        <v>18</v>
      </c>
      <c r="B4" t="s">
        <v>19</v>
      </c>
      <c r="C4" t="s">
        <v>20</v>
      </c>
      <c r="D4" t="s">
        <v>9</v>
      </c>
      <c r="E4" t="s">
        <v>21</v>
      </c>
      <c r="F4" s="2">
        <v>45677</v>
      </c>
      <c r="G4" t="str">
        <f t="shared" si="5"/>
        <v>January</v>
      </c>
      <c r="H4" t="s">
        <v>22</v>
      </c>
      <c r="I4">
        <v>8</v>
      </c>
      <c r="J4">
        <v>1</v>
      </c>
      <c r="K4">
        <v>19</v>
      </c>
      <c r="L4">
        <v>9</v>
      </c>
      <c r="M4">
        <v>18</v>
      </c>
      <c r="N4" s="4">
        <f t="shared" si="6"/>
        <v>1.0555555555555556</v>
      </c>
      <c r="O4">
        <v>40946</v>
      </c>
      <c r="P4" t="str">
        <f t="shared" si="7"/>
        <v>Yes</v>
      </c>
      <c r="Q4">
        <v>9</v>
      </c>
      <c r="R4" t="s">
        <v>12</v>
      </c>
      <c r="S4" t="str">
        <f t="shared" si="0"/>
        <v>Priya</v>
      </c>
      <c r="T4" t="str">
        <f t="shared" si="1"/>
        <v>SALES</v>
      </c>
      <c r="U4" t="str">
        <f t="shared" si="2"/>
        <v>Present</v>
      </c>
      <c r="V4" s="4">
        <f t="shared" si="3"/>
        <v>1.0555555555555556</v>
      </c>
      <c r="W4" t="str">
        <f t="shared" si="4"/>
        <v>OK</v>
      </c>
    </row>
    <row r="5" spans="1:23" x14ac:dyDescent="0.25">
      <c r="A5" t="s">
        <v>24</v>
      </c>
      <c r="B5" t="s">
        <v>25</v>
      </c>
      <c r="C5" t="s">
        <v>15</v>
      </c>
      <c r="D5" t="s">
        <v>16</v>
      </c>
      <c r="E5" t="s">
        <v>21</v>
      </c>
      <c r="F5" s="2">
        <v>45678</v>
      </c>
      <c r="G5" t="str">
        <f t="shared" si="5"/>
        <v>January</v>
      </c>
      <c r="H5" t="s">
        <v>22</v>
      </c>
      <c r="I5">
        <v>8</v>
      </c>
      <c r="J5">
        <v>3</v>
      </c>
      <c r="K5">
        <v>16</v>
      </c>
      <c r="L5">
        <v>10</v>
      </c>
      <c r="M5">
        <v>12</v>
      </c>
      <c r="N5" s="4">
        <f t="shared" si="6"/>
        <v>1.3333333333333333</v>
      </c>
      <c r="O5">
        <v>46961</v>
      </c>
      <c r="P5" t="str">
        <f t="shared" si="7"/>
        <v>Yes</v>
      </c>
      <c r="Q5">
        <v>10</v>
      </c>
      <c r="R5" t="s">
        <v>12</v>
      </c>
      <c r="S5" t="str">
        <f t="shared" si="0"/>
        <v>Arjun</v>
      </c>
      <c r="T5" t="str">
        <f t="shared" si="1"/>
        <v>FINANCE</v>
      </c>
      <c r="U5" t="str">
        <f t="shared" si="2"/>
        <v>Present</v>
      </c>
      <c r="V5" s="4">
        <f t="shared" si="3"/>
        <v>1.3333333333333333</v>
      </c>
      <c r="W5" t="str">
        <f t="shared" si="4"/>
        <v>OK</v>
      </c>
    </row>
    <row r="6" spans="1:23" x14ac:dyDescent="0.25">
      <c r="A6" t="s">
        <v>27</v>
      </c>
      <c r="B6" t="s">
        <v>28</v>
      </c>
      <c r="C6" t="s">
        <v>29</v>
      </c>
      <c r="D6" t="s">
        <v>16</v>
      </c>
      <c r="E6" t="s">
        <v>10</v>
      </c>
      <c r="F6" s="2">
        <v>45679</v>
      </c>
      <c r="G6" t="str">
        <f t="shared" si="5"/>
        <v>January</v>
      </c>
      <c r="H6" t="s">
        <v>30</v>
      </c>
      <c r="I6">
        <v>0</v>
      </c>
      <c r="J6">
        <v>0</v>
      </c>
      <c r="K6">
        <v>0</v>
      </c>
      <c r="L6">
        <v>9</v>
      </c>
      <c r="M6">
        <v>18</v>
      </c>
      <c r="N6" s="4">
        <f t="shared" si="6"/>
        <v>0</v>
      </c>
      <c r="O6">
        <v>43198</v>
      </c>
      <c r="P6" t="str">
        <f t="shared" si="7"/>
        <v>No</v>
      </c>
      <c r="Q6">
        <v>9</v>
      </c>
      <c r="R6" t="s">
        <v>12</v>
      </c>
      <c r="S6" t="str">
        <f t="shared" si="0"/>
        <v>Kiran</v>
      </c>
      <c r="T6" t="str">
        <f t="shared" si="1"/>
        <v>HR</v>
      </c>
      <c r="U6" t="str">
        <f t="shared" si="2"/>
        <v>Absent</v>
      </c>
      <c r="V6" s="4">
        <f t="shared" si="3"/>
        <v>0</v>
      </c>
      <c r="W6" t="str">
        <f t="shared" si="4"/>
        <v>OK</v>
      </c>
    </row>
    <row r="7" spans="1:23" x14ac:dyDescent="0.25">
      <c r="A7" t="s">
        <v>31</v>
      </c>
      <c r="B7" t="s">
        <v>32</v>
      </c>
      <c r="C7" t="s">
        <v>8</v>
      </c>
      <c r="D7" t="s">
        <v>33</v>
      </c>
      <c r="E7" t="s">
        <v>34</v>
      </c>
      <c r="F7" s="2">
        <v>45680</v>
      </c>
      <c r="G7" t="str">
        <f t="shared" si="5"/>
        <v>January</v>
      </c>
      <c r="H7" t="s">
        <v>11</v>
      </c>
      <c r="I7">
        <v>8</v>
      </c>
      <c r="J7">
        <v>0</v>
      </c>
      <c r="K7">
        <v>9</v>
      </c>
      <c r="L7">
        <v>5</v>
      </c>
      <c r="M7">
        <v>17</v>
      </c>
      <c r="N7" s="4">
        <f t="shared" si="6"/>
        <v>0.52941176470588236</v>
      </c>
      <c r="O7">
        <v>37630</v>
      </c>
      <c r="P7" t="str">
        <f t="shared" si="7"/>
        <v>No</v>
      </c>
      <c r="Q7">
        <v>5</v>
      </c>
      <c r="R7" t="s">
        <v>26</v>
      </c>
      <c r="S7" t="str">
        <f t="shared" si="0"/>
        <v>Sneha</v>
      </c>
      <c r="T7" t="str">
        <f t="shared" si="1"/>
        <v>IT</v>
      </c>
      <c r="U7" t="str">
        <f t="shared" si="2"/>
        <v>Wfh</v>
      </c>
      <c r="V7" s="4">
        <f t="shared" si="3"/>
        <v>0.52941176470588236</v>
      </c>
      <c r="W7" t="str">
        <f t="shared" si="4"/>
        <v>OK</v>
      </c>
    </row>
    <row r="8" spans="1:23" x14ac:dyDescent="0.25">
      <c r="A8" t="s">
        <v>35</v>
      </c>
      <c r="B8" t="s">
        <v>36</v>
      </c>
      <c r="C8" t="s">
        <v>29</v>
      </c>
      <c r="D8" t="s">
        <v>37</v>
      </c>
      <c r="E8" t="s">
        <v>10</v>
      </c>
      <c r="F8" s="2">
        <v>45681</v>
      </c>
      <c r="G8" t="str">
        <f t="shared" si="5"/>
        <v>January</v>
      </c>
      <c r="H8" t="s">
        <v>22</v>
      </c>
      <c r="I8">
        <v>8</v>
      </c>
      <c r="J8">
        <v>0</v>
      </c>
      <c r="K8">
        <v>19</v>
      </c>
      <c r="L8">
        <v>8</v>
      </c>
      <c r="M8">
        <v>12</v>
      </c>
      <c r="N8" s="4">
        <f t="shared" si="6"/>
        <v>1.5833333333333333</v>
      </c>
      <c r="O8">
        <v>34811</v>
      </c>
      <c r="P8" t="str">
        <f t="shared" si="7"/>
        <v>Yes</v>
      </c>
      <c r="Q8">
        <v>8</v>
      </c>
      <c r="R8" t="s">
        <v>12</v>
      </c>
      <c r="S8" t="str">
        <f t="shared" si="0"/>
        <v>Varun</v>
      </c>
      <c r="T8" t="str">
        <f t="shared" si="1"/>
        <v>HR</v>
      </c>
      <c r="U8" t="str">
        <f t="shared" si="2"/>
        <v>Present</v>
      </c>
      <c r="V8" s="4">
        <f t="shared" si="3"/>
        <v>1.5833333333333333</v>
      </c>
      <c r="W8" t="str">
        <f t="shared" si="4"/>
        <v>OK</v>
      </c>
    </row>
    <row r="9" spans="1:23" x14ac:dyDescent="0.25">
      <c r="A9" t="s">
        <v>38</v>
      </c>
      <c r="B9" t="s">
        <v>39</v>
      </c>
      <c r="C9" t="s">
        <v>29</v>
      </c>
      <c r="D9" t="s">
        <v>37</v>
      </c>
      <c r="E9" t="s">
        <v>10</v>
      </c>
      <c r="F9" s="2">
        <v>45682</v>
      </c>
      <c r="G9" t="str">
        <f t="shared" si="5"/>
        <v>January</v>
      </c>
      <c r="H9" t="s">
        <v>40</v>
      </c>
      <c r="I9">
        <v>0</v>
      </c>
      <c r="J9">
        <v>0</v>
      </c>
      <c r="K9">
        <v>0</v>
      </c>
      <c r="L9">
        <v>3</v>
      </c>
      <c r="M9">
        <v>19</v>
      </c>
      <c r="N9" s="4">
        <f t="shared" si="6"/>
        <v>0</v>
      </c>
      <c r="O9">
        <v>29906</v>
      </c>
      <c r="P9" t="str">
        <f t="shared" si="7"/>
        <v>No</v>
      </c>
      <c r="Q9">
        <v>3</v>
      </c>
      <c r="R9" t="s">
        <v>23</v>
      </c>
      <c r="S9" t="str">
        <f t="shared" si="0"/>
        <v>Ravi</v>
      </c>
      <c r="T9" t="str">
        <f t="shared" si="1"/>
        <v>HR</v>
      </c>
      <c r="U9" t="str">
        <f t="shared" si="2"/>
        <v>Leave</v>
      </c>
      <c r="V9" s="4">
        <f t="shared" si="3"/>
        <v>0</v>
      </c>
      <c r="W9" t="str">
        <f t="shared" si="4"/>
        <v>OK</v>
      </c>
    </row>
    <row r="10" spans="1:23" x14ac:dyDescent="0.25">
      <c r="A10" t="s">
        <v>41</v>
      </c>
      <c r="B10" t="s">
        <v>25</v>
      </c>
      <c r="C10" t="s">
        <v>20</v>
      </c>
      <c r="D10" t="s">
        <v>33</v>
      </c>
      <c r="E10" t="s">
        <v>42</v>
      </c>
      <c r="F10" s="2">
        <v>45683</v>
      </c>
      <c r="G10" t="str">
        <f t="shared" si="5"/>
        <v>January</v>
      </c>
      <c r="H10" t="s">
        <v>11</v>
      </c>
      <c r="I10">
        <v>8</v>
      </c>
      <c r="J10">
        <v>0</v>
      </c>
      <c r="K10">
        <v>18</v>
      </c>
      <c r="L10">
        <v>10</v>
      </c>
      <c r="M10">
        <v>17</v>
      </c>
      <c r="N10" s="4">
        <f t="shared" si="6"/>
        <v>1.0588235294117647</v>
      </c>
      <c r="O10">
        <v>31831</v>
      </c>
      <c r="P10" t="str">
        <f t="shared" si="7"/>
        <v>Yes</v>
      </c>
      <c r="Q10">
        <v>10</v>
      </c>
      <c r="R10" t="s">
        <v>12</v>
      </c>
      <c r="S10" t="str">
        <f t="shared" si="0"/>
        <v>Arjun</v>
      </c>
      <c r="T10" t="str">
        <f t="shared" si="1"/>
        <v>SALES</v>
      </c>
      <c r="U10" t="str">
        <f t="shared" si="2"/>
        <v>Wfh</v>
      </c>
      <c r="V10" s="4">
        <f t="shared" si="3"/>
        <v>1.0588235294117647</v>
      </c>
      <c r="W10" t="str">
        <f t="shared" si="4"/>
        <v>OK</v>
      </c>
    </row>
    <row r="11" spans="1:23" x14ac:dyDescent="0.25">
      <c r="A11" t="s">
        <v>43</v>
      </c>
      <c r="B11" t="s">
        <v>44</v>
      </c>
      <c r="C11" t="s">
        <v>29</v>
      </c>
      <c r="D11" t="s">
        <v>45</v>
      </c>
      <c r="E11" t="s">
        <v>10</v>
      </c>
      <c r="F11" s="2">
        <v>45684</v>
      </c>
      <c r="G11" t="str">
        <f t="shared" si="5"/>
        <v>January</v>
      </c>
      <c r="H11" t="s">
        <v>22</v>
      </c>
      <c r="I11">
        <v>8</v>
      </c>
      <c r="J11">
        <v>1</v>
      </c>
      <c r="K11">
        <v>15</v>
      </c>
      <c r="L11">
        <v>4</v>
      </c>
      <c r="M11">
        <v>11</v>
      </c>
      <c r="N11" s="4">
        <f t="shared" si="6"/>
        <v>1.3636363636363635</v>
      </c>
      <c r="O11">
        <v>36770</v>
      </c>
      <c r="P11" t="str">
        <f t="shared" si="7"/>
        <v>Yes</v>
      </c>
      <c r="Q11">
        <v>4</v>
      </c>
      <c r="R11" t="s">
        <v>26</v>
      </c>
      <c r="S11" t="str">
        <f t="shared" si="0"/>
        <v>Rohit</v>
      </c>
      <c r="T11" t="str">
        <f t="shared" si="1"/>
        <v>HR</v>
      </c>
      <c r="U11" t="str">
        <f t="shared" si="2"/>
        <v>Present</v>
      </c>
      <c r="V11" s="4">
        <f t="shared" si="3"/>
        <v>1.3636363636363635</v>
      </c>
      <c r="W11" t="str">
        <f t="shared" si="4"/>
        <v>OK</v>
      </c>
    </row>
    <row r="12" spans="1:23" x14ac:dyDescent="0.25">
      <c r="A12" t="s">
        <v>46</v>
      </c>
      <c r="B12" t="s">
        <v>44</v>
      </c>
      <c r="C12" t="s">
        <v>29</v>
      </c>
      <c r="D12" t="s">
        <v>33</v>
      </c>
      <c r="E12" t="s">
        <v>42</v>
      </c>
      <c r="F12" s="2">
        <v>45685</v>
      </c>
      <c r="G12" t="str">
        <f t="shared" si="5"/>
        <v>January</v>
      </c>
      <c r="H12" t="s">
        <v>11</v>
      </c>
      <c r="I12">
        <v>8</v>
      </c>
      <c r="J12">
        <v>0</v>
      </c>
      <c r="K12">
        <v>18</v>
      </c>
      <c r="L12">
        <v>5</v>
      </c>
      <c r="M12">
        <v>10</v>
      </c>
      <c r="N12" s="4">
        <f t="shared" si="6"/>
        <v>1.8</v>
      </c>
      <c r="O12">
        <v>32412</v>
      </c>
      <c r="P12" t="str">
        <f t="shared" si="7"/>
        <v>Yes</v>
      </c>
      <c r="Q12">
        <v>5</v>
      </c>
      <c r="R12" t="s">
        <v>17</v>
      </c>
      <c r="S12" t="str">
        <f t="shared" si="0"/>
        <v>Rohit</v>
      </c>
      <c r="T12" t="str">
        <f t="shared" si="1"/>
        <v>HR</v>
      </c>
      <c r="U12" t="str">
        <f t="shared" si="2"/>
        <v>Wfh</v>
      </c>
      <c r="V12" s="4">
        <f t="shared" si="3"/>
        <v>1.8</v>
      </c>
      <c r="W12" t="str">
        <f t="shared" si="4"/>
        <v>OK</v>
      </c>
    </row>
    <row r="13" spans="1:23" x14ac:dyDescent="0.25">
      <c r="A13" t="s">
        <v>47</v>
      </c>
      <c r="B13" t="s">
        <v>39</v>
      </c>
      <c r="C13" t="s">
        <v>20</v>
      </c>
      <c r="D13" t="s">
        <v>45</v>
      </c>
      <c r="E13" t="s">
        <v>34</v>
      </c>
      <c r="F13" s="2">
        <v>45686</v>
      </c>
      <c r="G13" t="str">
        <f t="shared" si="5"/>
        <v>January</v>
      </c>
      <c r="H13" t="s">
        <v>30</v>
      </c>
      <c r="I13">
        <v>0</v>
      </c>
      <c r="J13">
        <v>0</v>
      </c>
      <c r="K13">
        <v>0</v>
      </c>
      <c r="L13">
        <v>8</v>
      </c>
      <c r="M13">
        <v>12</v>
      </c>
      <c r="N13" s="4">
        <f t="shared" si="6"/>
        <v>0</v>
      </c>
      <c r="O13">
        <v>42165</v>
      </c>
      <c r="P13" t="str">
        <f t="shared" si="7"/>
        <v>No</v>
      </c>
      <c r="Q13">
        <v>8</v>
      </c>
      <c r="R13" t="s">
        <v>12</v>
      </c>
      <c r="S13" t="str">
        <f t="shared" si="0"/>
        <v>Ravi</v>
      </c>
      <c r="T13" t="str">
        <f t="shared" si="1"/>
        <v>SALES</v>
      </c>
      <c r="U13" t="str">
        <f t="shared" si="2"/>
        <v>Absent</v>
      </c>
      <c r="V13" s="4">
        <f t="shared" si="3"/>
        <v>0</v>
      </c>
      <c r="W13" t="str">
        <f t="shared" si="4"/>
        <v>OK</v>
      </c>
    </row>
    <row r="14" spans="1:23" x14ac:dyDescent="0.25">
      <c r="A14" t="s">
        <v>48</v>
      </c>
      <c r="B14" t="s">
        <v>14</v>
      </c>
      <c r="C14" t="s">
        <v>20</v>
      </c>
      <c r="D14" t="s">
        <v>49</v>
      </c>
      <c r="E14" t="s">
        <v>34</v>
      </c>
      <c r="F14" s="2">
        <v>45687</v>
      </c>
      <c r="G14" t="str">
        <f t="shared" si="5"/>
        <v>January</v>
      </c>
      <c r="H14" t="s">
        <v>40</v>
      </c>
      <c r="I14">
        <v>0</v>
      </c>
      <c r="J14">
        <v>0</v>
      </c>
      <c r="K14">
        <v>0</v>
      </c>
      <c r="L14">
        <v>8</v>
      </c>
      <c r="M14">
        <v>11</v>
      </c>
      <c r="N14" s="4">
        <f t="shared" si="6"/>
        <v>0</v>
      </c>
      <c r="O14">
        <v>29872</v>
      </c>
      <c r="P14" t="str">
        <f t="shared" si="7"/>
        <v>No</v>
      </c>
      <c r="Q14">
        <v>8</v>
      </c>
      <c r="R14" t="s">
        <v>12</v>
      </c>
      <c r="S14" t="str">
        <f t="shared" si="0"/>
        <v>Pooja</v>
      </c>
      <c r="T14" t="str">
        <f t="shared" si="1"/>
        <v>SALES</v>
      </c>
      <c r="U14" t="str">
        <f t="shared" si="2"/>
        <v>Leave</v>
      </c>
      <c r="V14" s="4">
        <f t="shared" si="3"/>
        <v>0</v>
      </c>
      <c r="W14" t="str">
        <f t="shared" si="4"/>
        <v>OK</v>
      </c>
    </row>
    <row r="15" spans="1:23" x14ac:dyDescent="0.25">
      <c r="A15" t="s">
        <v>50</v>
      </c>
      <c r="B15" t="s">
        <v>19</v>
      </c>
      <c r="C15" t="s">
        <v>29</v>
      </c>
      <c r="D15" t="s">
        <v>33</v>
      </c>
      <c r="E15" t="s">
        <v>21</v>
      </c>
      <c r="F15" s="2">
        <v>45688</v>
      </c>
      <c r="G15" t="str">
        <f t="shared" si="5"/>
        <v>January</v>
      </c>
      <c r="H15" t="s">
        <v>22</v>
      </c>
      <c r="I15">
        <v>8</v>
      </c>
      <c r="J15">
        <v>1</v>
      </c>
      <c r="K15">
        <v>20</v>
      </c>
      <c r="L15">
        <v>6</v>
      </c>
      <c r="M15">
        <v>17</v>
      </c>
      <c r="N15" s="4">
        <f t="shared" si="6"/>
        <v>1.1764705882352942</v>
      </c>
      <c r="O15">
        <v>31911</v>
      </c>
      <c r="P15" t="str">
        <f t="shared" si="7"/>
        <v>Yes</v>
      </c>
      <c r="Q15">
        <v>6</v>
      </c>
      <c r="R15" t="s">
        <v>17</v>
      </c>
      <c r="S15" t="str">
        <f t="shared" si="0"/>
        <v>Priya</v>
      </c>
      <c r="T15" t="str">
        <f t="shared" si="1"/>
        <v>HR</v>
      </c>
      <c r="U15" t="str">
        <f t="shared" si="2"/>
        <v>Present</v>
      </c>
      <c r="V15" s="4">
        <f t="shared" si="3"/>
        <v>1.1764705882352942</v>
      </c>
      <c r="W15" t="str">
        <f t="shared" si="4"/>
        <v>OK</v>
      </c>
    </row>
    <row r="16" spans="1:23" x14ac:dyDescent="0.25">
      <c r="A16" t="s">
        <v>51</v>
      </c>
      <c r="B16" t="s">
        <v>28</v>
      </c>
      <c r="C16" t="s">
        <v>20</v>
      </c>
      <c r="D16" t="s">
        <v>9</v>
      </c>
      <c r="E16" t="s">
        <v>21</v>
      </c>
      <c r="F16" s="2">
        <v>45689</v>
      </c>
      <c r="G16" t="str">
        <f t="shared" si="5"/>
        <v>February</v>
      </c>
      <c r="H16" t="s">
        <v>11</v>
      </c>
      <c r="I16">
        <v>8</v>
      </c>
      <c r="J16">
        <v>0</v>
      </c>
      <c r="K16">
        <v>13</v>
      </c>
      <c r="L16">
        <v>9</v>
      </c>
      <c r="M16">
        <v>13</v>
      </c>
      <c r="N16" s="4">
        <f t="shared" si="6"/>
        <v>1</v>
      </c>
      <c r="O16">
        <v>45875</v>
      </c>
      <c r="P16" t="str">
        <f t="shared" si="7"/>
        <v>Yes</v>
      </c>
      <c r="Q16">
        <v>9</v>
      </c>
      <c r="R16" t="s">
        <v>12</v>
      </c>
      <c r="S16" t="str">
        <f t="shared" si="0"/>
        <v>Kiran</v>
      </c>
      <c r="T16" t="str">
        <f t="shared" si="1"/>
        <v>SALES</v>
      </c>
      <c r="U16" t="str">
        <f t="shared" si="2"/>
        <v>Wfh</v>
      </c>
      <c r="V16" s="4">
        <f t="shared" si="3"/>
        <v>1</v>
      </c>
      <c r="W16" t="str">
        <f t="shared" si="4"/>
        <v>OK</v>
      </c>
    </row>
    <row r="17" spans="1:23" x14ac:dyDescent="0.25">
      <c r="A17" t="s">
        <v>52</v>
      </c>
      <c r="B17" t="s">
        <v>36</v>
      </c>
      <c r="C17" t="s">
        <v>29</v>
      </c>
      <c r="D17" t="s">
        <v>49</v>
      </c>
      <c r="E17" t="s">
        <v>42</v>
      </c>
      <c r="F17" s="2">
        <v>45690</v>
      </c>
      <c r="G17" t="str">
        <f t="shared" si="5"/>
        <v>February</v>
      </c>
      <c r="H17" t="s">
        <v>40</v>
      </c>
      <c r="I17">
        <v>0</v>
      </c>
      <c r="J17">
        <v>0</v>
      </c>
      <c r="K17">
        <v>0</v>
      </c>
      <c r="L17">
        <v>4</v>
      </c>
      <c r="M17">
        <v>19</v>
      </c>
      <c r="N17" s="4">
        <f t="shared" si="6"/>
        <v>0</v>
      </c>
      <c r="O17">
        <v>31629</v>
      </c>
      <c r="P17" t="str">
        <f t="shared" si="7"/>
        <v>No</v>
      </c>
      <c r="Q17">
        <v>4</v>
      </c>
      <c r="R17" t="s">
        <v>26</v>
      </c>
      <c r="S17" t="str">
        <f t="shared" si="0"/>
        <v>Varun</v>
      </c>
      <c r="T17" t="str">
        <f t="shared" si="1"/>
        <v>HR</v>
      </c>
      <c r="U17" t="str">
        <f t="shared" si="2"/>
        <v>Leave</v>
      </c>
      <c r="V17" s="4">
        <f t="shared" si="3"/>
        <v>0</v>
      </c>
      <c r="W17" t="str">
        <f t="shared" si="4"/>
        <v>OK</v>
      </c>
    </row>
    <row r="18" spans="1:23" x14ac:dyDescent="0.25">
      <c r="A18" t="s">
        <v>53</v>
      </c>
      <c r="B18" t="s">
        <v>7</v>
      </c>
      <c r="C18" t="s">
        <v>29</v>
      </c>
      <c r="D18" t="s">
        <v>37</v>
      </c>
      <c r="E18" t="s">
        <v>42</v>
      </c>
      <c r="F18" s="2">
        <v>45691</v>
      </c>
      <c r="G18" t="str">
        <f t="shared" si="5"/>
        <v>February</v>
      </c>
      <c r="H18" t="s">
        <v>40</v>
      </c>
      <c r="I18">
        <v>0</v>
      </c>
      <c r="J18">
        <v>0</v>
      </c>
      <c r="K18">
        <v>0</v>
      </c>
      <c r="L18">
        <v>6</v>
      </c>
      <c r="M18">
        <v>15</v>
      </c>
      <c r="N18" s="4">
        <f t="shared" si="6"/>
        <v>0</v>
      </c>
      <c r="O18">
        <v>49294</v>
      </c>
      <c r="P18" t="str">
        <f t="shared" si="7"/>
        <v>No</v>
      </c>
      <c r="Q18">
        <v>6</v>
      </c>
      <c r="R18" t="s">
        <v>17</v>
      </c>
      <c r="S18" t="str">
        <f t="shared" si="0"/>
        <v>Meena</v>
      </c>
      <c r="T18" t="str">
        <f t="shared" si="1"/>
        <v>HR</v>
      </c>
      <c r="U18" t="str">
        <f t="shared" si="2"/>
        <v>Leave</v>
      </c>
      <c r="V18" s="4">
        <f t="shared" si="3"/>
        <v>0</v>
      </c>
      <c r="W18" t="str">
        <f t="shared" si="4"/>
        <v>OK</v>
      </c>
    </row>
    <row r="19" spans="1:23" x14ac:dyDescent="0.25">
      <c r="A19" t="s">
        <v>54</v>
      </c>
      <c r="B19" t="s">
        <v>32</v>
      </c>
      <c r="C19" t="s">
        <v>8</v>
      </c>
      <c r="D19" t="s">
        <v>45</v>
      </c>
      <c r="E19" t="s">
        <v>42</v>
      </c>
      <c r="F19" s="2">
        <v>45692</v>
      </c>
      <c r="G19" t="str">
        <f t="shared" si="5"/>
        <v>February</v>
      </c>
      <c r="H19" t="s">
        <v>30</v>
      </c>
      <c r="I19">
        <v>0</v>
      </c>
      <c r="J19">
        <v>0</v>
      </c>
      <c r="K19">
        <v>0</v>
      </c>
      <c r="L19">
        <v>4</v>
      </c>
      <c r="M19">
        <v>18</v>
      </c>
      <c r="N19" s="4">
        <f t="shared" si="6"/>
        <v>0</v>
      </c>
      <c r="O19">
        <v>42866</v>
      </c>
      <c r="P19" t="str">
        <f t="shared" si="7"/>
        <v>No</v>
      </c>
      <c r="Q19">
        <v>4</v>
      </c>
      <c r="R19" t="s">
        <v>26</v>
      </c>
      <c r="S19" t="str">
        <f t="shared" si="0"/>
        <v>Sneha</v>
      </c>
      <c r="T19" t="str">
        <f t="shared" si="1"/>
        <v>IT</v>
      </c>
      <c r="U19" t="str">
        <f t="shared" si="2"/>
        <v>Absent</v>
      </c>
      <c r="V19" s="4">
        <f t="shared" si="3"/>
        <v>0</v>
      </c>
      <c r="W19" t="str">
        <f t="shared" si="4"/>
        <v>OK</v>
      </c>
    </row>
    <row r="20" spans="1:23" x14ac:dyDescent="0.25">
      <c r="A20" t="s">
        <v>55</v>
      </c>
      <c r="B20" t="s">
        <v>36</v>
      </c>
      <c r="C20" t="s">
        <v>29</v>
      </c>
      <c r="D20" t="s">
        <v>49</v>
      </c>
      <c r="E20" t="s">
        <v>21</v>
      </c>
      <c r="F20" s="2">
        <v>45693</v>
      </c>
      <c r="G20" t="str">
        <f t="shared" si="5"/>
        <v>February</v>
      </c>
      <c r="H20" t="s">
        <v>11</v>
      </c>
      <c r="I20">
        <v>8</v>
      </c>
      <c r="J20">
        <v>0</v>
      </c>
      <c r="K20">
        <v>17</v>
      </c>
      <c r="L20">
        <v>6</v>
      </c>
      <c r="M20">
        <v>10</v>
      </c>
      <c r="N20" s="4">
        <f t="shared" si="6"/>
        <v>1.7</v>
      </c>
      <c r="O20">
        <v>42130</v>
      </c>
      <c r="P20" t="str">
        <f t="shared" si="7"/>
        <v>Yes</v>
      </c>
      <c r="Q20">
        <v>6</v>
      </c>
      <c r="R20" t="s">
        <v>17</v>
      </c>
      <c r="S20" t="str">
        <f t="shared" si="0"/>
        <v>Varun</v>
      </c>
      <c r="T20" t="str">
        <f t="shared" si="1"/>
        <v>HR</v>
      </c>
      <c r="U20" t="str">
        <f t="shared" si="2"/>
        <v>Wfh</v>
      </c>
      <c r="V20" s="4">
        <f t="shared" si="3"/>
        <v>1.7</v>
      </c>
      <c r="W20" t="str">
        <f t="shared" si="4"/>
        <v>OK</v>
      </c>
    </row>
    <row r="21" spans="1:23" x14ac:dyDescent="0.25">
      <c r="A21" t="s">
        <v>56</v>
      </c>
      <c r="B21" t="s">
        <v>36</v>
      </c>
      <c r="C21" t="s">
        <v>20</v>
      </c>
      <c r="D21" t="s">
        <v>9</v>
      </c>
      <c r="E21" t="s">
        <v>21</v>
      </c>
      <c r="F21" s="2">
        <v>45694</v>
      </c>
      <c r="G21" t="str">
        <f t="shared" si="5"/>
        <v>February</v>
      </c>
      <c r="H21" t="s">
        <v>22</v>
      </c>
      <c r="I21">
        <v>8</v>
      </c>
      <c r="J21">
        <v>2</v>
      </c>
      <c r="K21">
        <v>6</v>
      </c>
      <c r="L21">
        <v>9</v>
      </c>
      <c r="M21">
        <v>13</v>
      </c>
      <c r="N21" s="4">
        <f t="shared" si="6"/>
        <v>0.46153846153846156</v>
      </c>
      <c r="O21">
        <v>33563</v>
      </c>
      <c r="P21" t="str">
        <f t="shared" si="7"/>
        <v>No</v>
      </c>
      <c r="Q21">
        <v>9</v>
      </c>
      <c r="R21" t="s">
        <v>12</v>
      </c>
      <c r="S21" t="str">
        <f t="shared" si="0"/>
        <v>Varun</v>
      </c>
      <c r="T21" t="str">
        <f t="shared" si="1"/>
        <v>SALES</v>
      </c>
      <c r="U21" t="str">
        <f t="shared" si="2"/>
        <v>Present</v>
      </c>
      <c r="V21" s="4">
        <f t="shared" si="3"/>
        <v>0.46153846153846156</v>
      </c>
      <c r="W21" t="str">
        <f t="shared" si="4"/>
        <v>OK</v>
      </c>
    </row>
    <row r="22" spans="1:23" x14ac:dyDescent="0.25">
      <c r="A22" t="s">
        <v>57</v>
      </c>
      <c r="B22" t="s">
        <v>32</v>
      </c>
      <c r="C22" t="s">
        <v>8</v>
      </c>
      <c r="D22" t="s">
        <v>49</v>
      </c>
      <c r="E22" t="s">
        <v>34</v>
      </c>
      <c r="F22" s="2">
        <v>45695</v>
      </c>
      <c r="G22" t="str">
        <f t="shared" si="5"/>
        <v>February</v>
      </c>
      <c r="H22" t="s">
        <v>30</v>
      </c>
      <c r="I22">
        <v>0</v>
      </c>
      <c r="J22">
        <v>0</v>
      </c>
      <c r="K22">
        <v>0</v>
      </c>
      <c r="L22">
        <v>6</v>
      </c>
      <c r="M22">
        <v>14</v>
      </c>
      <c r="N22" s="4">
        <f t="shared" si="6"/>
        <v>0</v>
      </c>
      <c r="O22">
        <v>39801</v>
      </c>
      <c r="P22" t="str">
        <f t="shared" si="7"/>
        <v>No</v>
      </c>
      <c r="Q22">
        <v>6</v>
      </c>
      <c r="R22" t="s">
        <v>17</v>
      </c>
      <c r="S22" t="str">
        <f t="shared" si="0"/>
        <v>Sneha</v>
      </c>
      <c r="T22" t="str">
        <f t="shared" si="1"/>
        <v>IT</v>
      </c>
      <c r="U22" t="str">
        <f t="shared" si="2"/>
        <v>Absent</v>
      </c>
      <c r="V22" s="4">
        <f t="shared" si="3"/>
        <v>0</v>
      </c>
      <c r="W22" t="str">
        <f t="shared" si="4"/>
        <v>OK</v>
      </c>
    </row>
    <row r="23" spans="1:23" x14ac:dyDescent="0.25">
      <c r="A23" t="s">
        <v>58</v>
      </c>
      <c r="B23" t="s">
        <v>32</v>
      </c>
      <c r="C23" t="s">
        <v>15</v>
      </c>
      <c r="D23" t="s">
        <v>9</v>
      </c>
      <c r="E23" t="s">
        <v>10</v>
      </c>
      <c r="F23" s="2">
        <v>45696</v>
      </c>
      <c r="G23" t="str">
        <f t="shared" si="5"/>
        <v>February</v>
      </c>
      <c r="H23" t="s">
        <v>11</v>
      </c>
      <c r="I23">
        <v>8</v>
      </c>
      <c r="J23">
        <v>0</v>
      </c>
      <c r="K23">
        <v>15</v>
      </c>
      <c r="L23">
        <v>8</v>
      </c>
      <c r="M23">
        <v>20</v>
      </c>
      <c r="N23" s="4">
        <f t="shared" si="6"/>
        <v>0.75</v>
      </c>
      <c r="O23">
        <v>40276</v>
      </c>
      <c r="P23" t="str">
        <f t="shared" si="7"/>
        <v>No</v>
      </c>
      <c r="Q23">
        <v>8</v>
      </c>
      <c r="R23" t="s">
        <v>12</v>
      </c>
      <c r="S23" t="str">
        <f t="shared" si="0"/>
        <v>Sneha</v>
      </c>
      <c r="T23" t="str">
        <f t="shared" si="1"/>
        <v>FINANCE</v>
      </c>
      <c r="U23" t="str">
        <f t="shared" si="2"/>
        <v>Wfh</v>
      </c>
      <c r="V23" s="4">
        <f t="shared" si="3"/>
        <v>0.75</v>
      </c>
      <c r="W23" t="str">
        <f t="shared" si="4"/>
        <v>OK</v>
      </c>
    </row>
    <row r="24" spans="1:23" x14ac:dyDescent="0.25">
      <c r="A24" t="s">
        <v>59</v>
      </c>
      <c r="B24" t="s">
        <v>14</v>
      </c>
      <c r="C24" t="s">
        <v>15</v>
      </c>
      <c r="D24" t="s">
        <v>37</v>
      </c>
      <c r="E24" t="s">
        <v>10</v>
      </c>
      <c r="F24" s="2">
        <v>45697</v>
      </c>
      <c r="G24" t="str">
        <f t="shared" si="5"/>
        <v>February</v>
      </c>
      <c r="H24" t="s">
        <v>22</v>
      </c>
      <c r="I24">
        <v>8</v>
      </c>
      <c r="J24">
        <v>3</v>
      </c>
      <c r="K24">
        <v>15</v>
      </c>
      <c r="L24">
        <v>8</v>
      </c>
      <c r="M24">
        <v>19</v>
      </c>
      <c r="N24" s="4">
        <f t="shared" si="6"/>
        <v>0.78947368421052633</v>
      </c>
      <c r="O24">
        <v>31993</v>
      </c>
      <c r="P24" t="str">
        <f t="shared" si="7"/>
        <v>No</v>
      </c>
      <c r="Q24">
        <v>8</v>
      </c>
      <c r="R24" t="s">
        <v>12</v>
      </c>
      <c r="S24" t="str">
        <f t="shared" si="0"/>
        <v>Pooja</v>
      </c>
      <c r="T24" t="str">
        <f t="shared" si="1"/>
        <v>FINANCE</v>
      </c>
      <c r="U24" t="str">
        <f t="shared" si="2"/>
        <v>Present</v>
      </c>
      <c r="V24" s="4">
        <f t="shared" si="3"/>
        <v>0.78947368421052633</v>
      </c>
      <c r="W24" t="str">
        <f t="shared" si="4"/>
        <v>OK</v>
      </c>
    </row>
    <row r="25" spans="1:23" x14ac:dyDescent="0.25">
      <c r="A25" t="s">
        <v>60</v>
      </c>
      <c r="B25" t="s">
        <v>25</v>
      </c>
      <c r="C25" t="s">
        <v>15</v>
      </c>
      <c r="D25" t="s">
        <v>16</v>
      </c>
      <c r="E25" t="s">
        <v>34</v>
      </c>
      <c r="F25" s="2">
        <v>45698</v>
      </c>
      <c r="G25" t="str">
        <f t="shared" si="5"/>
        <v>February</v>
      </c>
      <c r="H25" t="s">
        <v>11</v>
      </c>
      <c r="I25">
        <v>8</v>
      </c>
      <c r="J25">
        <v>0</v>
      </c>
      <c r="K25">
        <v>15</v>
      </c>
      <c r="L25">
        <v>8</v>
      </c>
      <c r="M25">
        <v>18</v>
      </c>
      <c r="N25" s="4">
        <f t="shared" si="6"/>
        <v>0.83333333333333337</v>
      </c>
      <c r="O25">
        <v>34108</v>
      </c>
      <c r="P25" t="str">
        <f t="shared" si="7"/>
        <v>No</v>
      </c>
      <c r="Q25">
        <v>8</v>
      </c>
      <c r="R25" t="s">
        <v>12</v>
      </c>
      <c r="S25" t="str">
        <f t="shared" si="0"/>
        <v>Arjun</v>
      </c>
      <c r="T25" t="str">
        <f t="shared" si="1"/>
        <v>FINANCE</v>
      </c>
      <c r="U25" t="str">
        <f t="shared" si="2"/>
        <v>Wfh</v>
      </c>
      <c r="V25" s="4">
        <f t="shared" si="3"/>
        <v>0.83333333333333337</v>
      </c>
      <c r="W25" t="str">
        <f t="shared" si="4"/>
        <v>OK</v>
      </c>
    </row>
    <row r="26" spans="1:23" x14ac:dyDescent="0.25">
      <c r="A26" t="s">
        <v>61</v>
      </c>
      <c r="B26" t="s">
        <v>28</v>
      </c>
      <c r="C26" t="s">
        <v>15</v>
      </c>
      <c r="D26" t="s">
        <v>45</v>
      </c>
      <c r="E26" t="s">
        <v>21</v>
      </c>
      <c r="F26" s="2">
        <v>45699</v>
      </c>
      <c r="G26" t="str">
        <f t="shared" si="5"/>
        <v>February</v>
      </c>
      <c r="H26" t="s">
        <v>22</v>
      </c>
      <c r="I26">
        <v>8</v>
      </c>
      <c r="J26">
        <v>2</v>
      </c>
      <c r="K26">
        <v>6</v>
      </c>
      <c r="L26">
        <v>4</v>
      </c>
      <c r="M26">
        <v>13</v>
      </c>
      <c r="N26" s="4">
        <f t="shared" si="6"/>
        <v>0.46153846153846156</v>
      </c>
      <c r="O26">
        <v>43688</v>
      </c>
      <c r="P26" t="str">
        <f t="shared" si="7"/>
        <v>No</v>
      </c>
      <c r="Q26">
        <v>4</v>
      </c>
      <c r="R26" t="s">
        <v>26</v>
      </c>
      <c r="S26" t="str">
        <f t="shared" si="0"/>
        <v>Kiran</v>
      </c>
      <c r="T26" t="str">
        <f t="shared" si="1"/>
        <v>FINANCE</v>
      </c>
      <c r="U26" t="str">
        <f t="shared" si="2"/>
        <v>Present</v>
      </c>
      <c r="V26" s="4">
        <f t="shared" si="3"/>
        <v>0.46153846153846156</v>
      </c>
      <c r="W26" t="str">
        <f t="shared" si="4"/>
        <v>OK</v>
      </c>
    </row>
    <row r="27" spans="1:23" x14ac:dyDescent="0.25">
      <c r="A27" t="s">
        <v>62</v>
      </c>
      <c r="B27" t="s">
        <v>25</v>
      </c>
      <c r="C27" t="s">
        <v>8</v>
      </c>
      <c r="D27" t="s">
        <v>45</v>
      </c>
      <c r="E27" t="s">
        <v>21</v>
      </c>
      <c r="F27" s="2">
        <v>45700</v>
      </c>
      <c r="G27" t="str">
        <f t="shared" si="5"/>
        <v>February</v>
      </c>
      <c r="H27" t="s">
        <v>11</v>
      </c>
      <c r="I27">
        <v>8</v>
      </c>
      <c r="J27">
        <v>0</v>
      </c>
      <c r="K27">
        <v>15</v>
      </c>
      <c r="L27">
        <v>8</v>
      </c>
      <c r="M27">
        <v>12</v>
      </c>
      <c r="N27" s="4">
        <f t="shared" si="6"/>
        <v>1.25</v>
      </c>
      <c r="O27">
        <v>39884</v>
      </c>
      <c r="P27" t="str">
        <f t="shared" si="7"/>
        <v>Yes</v>
      </c>
      <c r="Q27">
        <v>8</v>
      </c>
      <c r="R27" t="s">
        <v>12</v>
      </c>
      <c r="S27" t="str">
        <f t="shared" si="0"/>
        <v>Arjun</v>
      </c>
      <c r="T27" t="str">
        <f t="shared" si="1"/>
        <v>IT</v>
      </c>
      <c r="U27" t="str">
        <f t="shared" si="2"/>
        <v>Wfh</v>
      </c>
      <c r="V27" s="4">
        <f t="shared" si="3"/>
        <v>1.25</v>
      </c>
      <c r="W27" t="str">
        <f t="shared" si="4"/>
        <v>OK</v>
      </c>
    </row>
    <row r="28" spans="1:23" x14ac:dyDescent="0.25">
      <c r="A28" t="s">
        <v>63</v>
      </c>
      <c r="B28" t="s">
        <v>25</v>
      </c>
      <c r="C28" t="s">
        <v>8</v>
      </c>
      <c r="D28" t="s">
        <v>16</v>
      </c>
      <c r="E28" t="s">
        <v>42</v>
      </c>
      <c r="F28" s="2">
        <v>45701</v>
      </c>
      <c r="G28" t="str">
        <f t="shared" si="5"/>
        <v>February</v>
      </c>
      <c r="H28" t="s">
        <v>22</v>
      </c>
      <c r="I28">
        <v>8</v>
      </c>
      <c r="J28">
        <v>1</v>
      </c>
      <c r="K28">
        <v>13</v>
      </c>
      <c r="L28">
        <v>10</v>
      </c>
      <c r="M28">
        <v>18</v>
      </c>
      <c r="N28" s="4">
        <f t="shared" si="6"/>
        <v>0.72222222222222221</v>
      </c>
      <c r="O28">
        <v>31510</v>
      </c>
      <c r="P28" t="str">
        <f t="shared" si="7"/>
        <v>No</v>
      </c>
      <c r="Q28">
        <v>10</v>
      </c>
      <c r="R28" t="s">
        <v>12</v>
      </c>
      <c r="S28" t="str">
        <f t="shared" si="0"/>
        <v>Arjun</v>
      </c>
      <c r="T28" t="str">
        <f t="shared" si="1"/>
        <v>IT</v>
      </c>
      <c r="U28" t="str">
        <f t="shared" si="2"/>
        <v>Present</v>
      </c>
      <c r="V28" s="4">
        <f t="shared" si="3"/>
        <v>0.72222222222222221</v>
      </c>
      <c r="W28" t="str">
        <f t="shared" si="4"/>
        <v>OK</v>
      </c>
    </row>
    <row r="29" spans="1:23" x14ac:dyDescent="0.25">
      <c r="A29" t="s">
        <v>64</v>
      </c>
      <c r="B29" t="s">
        <v>36</v>
      </c>
      <c r="C29" t="s">
        <v>8</v>
      </c>
      <c r="D29" t="s">
        <v>49</v>
      </c>
      <c r="E29" t="s">
        <v>42</v>
      </c>
      <c r="F29" s="2">
        <v>45702</v>
      </c>
      <c r="G29" t="str">
        <f t="shared" si="5"/>
        <v>February</v>
      </c>
      <c r="H29" t="s">
        <v>11</v>
      </c>
      <c r="I29">
        <v>8</v>
      </c>
      <c r="J29">
        <v>0</v>
      </c>
      <c r="K29">
        <v>10</v>
      </c>
      <c r="L29">
        <v>9</v>
      </c>
      <c r="M29">
        <v>19</v>
      </c>
      <c r="N29" s="4">
        <f t="shared" si="6"/>
        <v>0.52631578947368418</v>
      </c>
      <c r="O29">
        <v>28690</v>
      </c>
      <c r="P29" t="str">
        <f t="shared" si="7"/>
        <v>No</v>
      </c>
      <c r="Q29">
        <v>9</v>
      </c>
      <c r="R29" t="s">
        <v>12</v>
      </c>
      <c r="S29" t="str">
        <f t="shared" si="0"/>
        <v>Varun</v>
      </c>
      <c r="T29" t="str">
        <f t="shared" si="1"/>
        <v>IT</v>
      </c>
      <c r="U29" t="str">
        <f t="shared" si="2"/>
        <v>Wfh</v>
      </c>
      <c r="V29" s="4">
        <f t="shared" si="3"/>
        <v>0.52631578947368418</v>
      </c>
      <c r="W29" t="str">
        <f t="shared" si="4"/>
        <v>OK</v>
      </c>
    </row>
    <row r="30" spans="1:23" x14ac:dyDescent="0.25">
      <c r="A30" t="s">
        <v>65</v>
      </c>
      <c r="B30" t="s">
        <v>66</v>
      </c>
      <c r="C30" t="s">
        <v>8</v>
      </c>
      <c r="D30" t="s">
        <v>16</v>
      </c>
      <c r="E30" t="s">
        <v>34</v>
      </c>
      <c r="F30" s="2">
        <v>45703</v>
      </c>
      <c r="G30" t="str">
        <f t="shared" si="5"/>
        <v>February</v>
      </c>
      <c r="H30" t="s">
        <v>40</v>
      </c>
      <c r="I30">
        <v>0</v>
      </c>
      <c r="J30">
        <v>0</v>
      </c>
      <c r="K30">
        <v>0</v>
      </c>
      <c r="L30">
        <v>8</v>
      </c>
      <c r="M30">
        <v>12</v>
      </c>
      <c r="N30" s="4">
        <f t="shared" si="6"/>
        <v>0</v>
      </c>
      <c r="O30">
        <v>46416</v>
      </c>
      <c r="P30" t="str">
        <f t="shared" si="7"/>
        <v>No</v>
      </c>
      <c r="Q30">
        <v>8</v>
      </c>
      <c r="R30" t="s">
        <v>12</v>
      </c>
      <c r="S30" t="str">
        <f t="shared" si="0"/>
        <v>Asha</v>
      </c>
      <c r="T30" t="str">
        <f t="shared" si="1"/>
        <v>IT</v>
      </c>
      <c r="U30" t="str">
        <f t="shared" si="2"/>
        <v>Leave</v>
      </c>
      <c r="V30" s="4">
        <f t="shared" si="3"/>
        <v>0</v>
      </c>
      <c r="W30" t="str">
        <f t="shared" si="4"/>
        <v>OK</v>
      </c>
    </row>
    <row r="31" spans="1:23" x14ac:dyDescent="0.25">
      <c r="A31" t="s">
        <v>67</v>
      </c>
      <c r="B31" t="s">
        <v>66</v>
      </c>
      <c r="C31" t="s">
        <v>29</v>
      </c>
      <c r="D31" t="s">
        <v>9</v>
      </c>
      <c r="E31" t="s">
        <v>42</v>
      </c>
      <c r="F31" s="2">
        <v>45704</v>
      </c>
      <c r="G31" t="str">
        <f t="shared" si="5"/>
        <v>February</v>
      </c>
      <c r="H31" t="s">
        <v>11</v>
      </c>
      <c r="I31">
        <v>8</v>
      </c>
      <c r="J31">
        <v>0</v>
      </c>
      <c r="K31">
        <v>20</v>
      </c>
      <c r="L31">
        <v>5</v>
      </c>
      <c r="M31">
        <v>19</v>
      </c>
      <c r="N31" s="4">
        <f t="shared" si="6"/>
        <v>1.0526315789473684</v>
      </c>
      <c r="O31">
        <v>49245</v>
      </c>
      <c r="P31" t="str">
        <f t="shared" si="7"/>
        <v>Yes</v>
      </c>
      <c r="Q31">
        <v>5</v>
      </c>
      <c r="R31" t="s">
        <v>17</v>
      </c>
      <c r="S31" t="str">
        <f t="shared" si="0"/>
        <v>Asha</v>
      </c>
      <c r="T31" t="str">
        <f t="shared" si="1"/>
        <v>HR</v>
      </c>
      <c r="U31" t="str">
        <f t="shared" si="2"/>
        <v>Wfh</v>
      </c>
      <c r="V31" s="4">
        <f t="shared" si="3"/>
        <v>1.0526315789473684</v>
      </c>
      <c r="W31" t="str">
        <f t="shared" si="4"/>
        <v>OK</v>
      </c>
    </row>
    <row r="32" spans="1:23" x14ac:dyDescent="0.25">
      <c r="A32" t="s">
        <v>68</v>
      </c>
      <c r="B32" t="s">
        <v>44</v>
      </c>
      <c r="C32" t="s">
        <v>15</v>
      </c>
      <c r="D32" t="s">
        <v>45</v>
      </c>
      <c r="E32" t="s">
        <v>21</v>
      </c>
      <c r="F32" s="2">
        <v>45705</v>
      </c>
      <c r="G32" t="str">
        <f t="shared" si="5"/>
        <v>February</v>
      </c>
      <c r="H32" t="s">
        <v>11</v>
      </c>
      <c r="I32">
        <v>8</v>
      </c>
      <c r="J32">
        <v>0</v>
      </c>
      <c r="K32">
        <v>12</v>
      </c>
      <c r="L32">
        <v>7</v>
      </c>
      <c r="M32">
        <v>10</v>
      </c>
      <c r="N32" s="4">
        <f t="shared" si="6"/>
        <v>1.2</v>
      </c>
      <c r="O32">
        <v>42818</v>
      </c>
      <c r="P32" t="str">
        <f t="shared" si="7"/>
        <v>Yes</v>
      </c>
      <c r="Q32">
        <v>7</v>
      </c>
      <c r="R32" t="s">
        <v>17</v>
      </c>
      <c r="S32" t="str">
        <f t="shared" si="0"/>
        <v>Rohit</v>
      </c>
      <c r="T32" t="str">
        <f t="shared" si="1"/>
        <v>FINANCE</v>
      </c>
      <c r="U32" t="str">
        <f t="shared" si="2"/>
        <v>Wfh</v>
      </c>
      <c r="V32" s="4">
        <f t="shared" si="3"/>
        <v>1.2</v>
      </c>
      <c r="W32" t="str">
        <f t="shared" si="4"/>
        <v>OK</v>
      </c>
    </row>
    <row r="33" spans="1:23" x14ac:dyDescent="0.25">
      <c r="A33" t="s">
        <v>69</v>
      </c>
      <c r="B33" t="s">
        <v>14</v>
      </c>
      <c r="C33" t="s">
        <v>8</v>
      </c>
      <c r="D33" t="s">
        <v>33</v>
      </c>
      <c r="E33" t="s">
        <v>21</v>
      </c>
      <c r="F33" s="2">
        <v>45706</v>
      </c>
      <c r="G33" t="str">
        <f t="shared" si="5"/>
        <v>February</v>
      </c>
      <c r="H33" t="s">
        <v>40</v>
      </c>
      <c r="I33">
        <v>0</v>
      </c>
      <c r="J33">
        <v>0</v>
      </c>
      <c r="K33">
        <v>0</v>
      </c>
      <c r="L33">
        <v>5</v>
      </c>
      <c r="M33">
        <v>13</v>
      </c>
      <c r="N33" s="4">
        <f t="shared" si="6"/>
        <v>0</v>
      </c>
      <c r="O33">
        <v>43005</v>
      </c>
      <c r="P33" t="str">
        <f t="shared" si="7"/>
        <v>No</v>
      </c>
      <c r="Q33">
        <v>5</v>
      </c>
      <c r="R33" t="s">
        <v>26</v>
      </c>
      <c r="S33" t="str">
        <f t="shared" si="0"/>
        <v>Pooja</v>
      </c>
      <c r="T33" t="str">
        <f t="shared" si="1"/>
        <v>IT</v>
      </c>
      <c r="U33" t="str">
        <f t="shared" si="2"/>
        <v>Leave</v>
      </c>
      <c r="V33" s="4">
        <f t="shared" si="3"/>
        <v>0</v>
      </c>
      <c r="W33" t="str">
        <f t="shared" si="4"/>
        <v>OK</v>
      </c>
    </row>
    <row r="34" spans="1:23" x14ac:dyDescent="0.25">
      <c r="A34" t="s">
        <v>70</v>
      </c>
      <c r="B34" t="s">
        <v>28</v>
      </c>
      <c r="C34" t="s">
        <v>29</v>
      </c>
      <c r="D34" t="s">
        <v>49</v>
      </c>
      <c r="E34" t="s">
        <v>34</v>
      </c>
      <c r="F34" s="2">
        <v>45707</v>
      </c>
      <c r="G34" t="str">
        <f t="shared" si="5"/>
        <v>February</v>
      </c>
      <c r="H34" t="s">
        <v>22</v>
      </c>
      <c r="I34">
        <v>8</v>
      </c>
      <c r="J34">
        <v>1</v>
      </c>
      <c r="K34">
        <v>15</v>
      </c>
      <c r="L34">
        <v>6</v>
      </c>
      <c r="M34">
        <v>20</v>
      </c>
      <c r="N34" s="4">
        <f t="shared" si="6"/>
        <v>0.75</v>
      </c>
      <c r="O34">
        <v>48315</v>
      </c>
      <c r="P34" t="str">
        <f t="shared" si="7"/>
        <v>No</v>
      </c>
      <c r="Q34">
        <v>6</v>
      </c>
      <c r="R34" t="s">
        <v>17</v>
      </c>
      <c r="S34" t="str">
        <f t="shared" ref="S34:S65" si="8">PROPER(B34)</f>
        <v>Kiran</v>
      </c>
      <c r="T34" t="str">
        <f t="shared" ref="T34:T65" si="9">UPPER(C34)</f>
        <v>HR</v>
      </c>
      <c r="U34" t="str">
        <f t="shared" ref="U34:U65" si="10">PROPER(H34)</f>
        <v>Present</v>
      </c>
      <c r="V34" s="4">
        <f t="shared" ref="V34:V65" si="11">IFERROR(N34,0)</f>
        <v>0.75</v>
      </c>
      <c r="W34" t="str">
        <f t="shared" ref="W34:W65" si="12">IF(OR(A34="",B34="",C34=""),"Incomplete","OK")</f>
        <v>OK</v>
      </c>
    </row>
    <row r="35" spans="1:23" x14ac:dyDescent="0.25">
      <c r="A35" t="s">
        <v>71</v>
      </c>
      <c r="B35" t="s">
        <v>19</v>
      </c>
      <c r="C35" t="s">
        <v>15</v>
      </c>
      <c r="D35" t="s">
        <v>49</v>
      </c>
      <c r="E35" t="s">
        <v>34</v>
      </c>
      <c r="F35" s="2">
        <v>45708</v>
      </c>
      <c r="G35" t="str">
        <f t="shared" si="5"/>
        <v>February</v>
      </c>
      <c r="H35" t="s">
        <v>22</v>
      </c>
      <c r="I35">
        <v>8</v>
      </c>
      <c r="J35">
        <v>3</v>
      </c>
      <c r="K35">
        <v>10</v>
      </c>
      <c r="L35">
        <v>4</v>
      </c>
      <c r="M35">
        <v>13</v>
      </c>
      <c r="N35" s="4">
        <f t="shared" si="6"/>
        <v>0.76923076923076927</v>
      </c>
      <c r="O35">
        <v>34132</v>
      </c>
      <c r="P35" t="str">
        <f t="shared" si="7"/>
        <v>No</v>
      </c>
      <c r="Q35">
        <v>4</v>
      </c>
      <c r="R35" t="s">
        <v>26</v>
      </c>
      <c r="S35" t="str">
        <f t="shared" si="8"/>
        <v>Priya</v>
      </c>
      <c r="T35" t="str">
        <f t="shared" si="9"/>
        <v>FINANCE</v>
      </c>
      <c r="U35" t="str">
        <f t="shared" si="10"/>
        <v>Present</v>
      </c>
      <c r="V35" s="4">
        <f t="shared" si="11"/>
        <v>0.76923076923076927</v>
      </c>
      <c r="W35" t="str">
        <f t="shared" si="12"/>
        <v>OK</v>
      </c>
    </row>
    <row r="36" spans="1:23" x14ac:dyDescent="0.25">
      <c r="A36" t="s">
        <v>72</v>
      </c>
      <c r="B36" t="s">
        <v>32</v>
      </c>
      <c r="C36" t="s">
        <v>8</v>
      </c>
      <c r="D36" t="s">
        <v>49</v>
      </c>
      <c r="E36" t="s">
        <v>21</v>
      </c>
      <c r="F36" s="2">
        <v>45709</v>
      </c>
      <c r="G36" t="str">
        <f t="shared" si="5"/>
        <v>February</v>
      </c>
      <c r="H36" t="s">
        <v>40</v>
      </c>
      <c r="I36">
        <v>0</v>
      </c>
      <c r="J36">
        <v>0</v>
      </c>
      <c r="K36">
        <v>0</v>
      </c>
      <c r="L36">
        <v>6</v>
      </c>
      <c r="M36">
        <v>15</v>
      </c>
      <c r="N36" s="4">
        <f t="shared" si="6"/>
        <v>0</v>
      </c>
      <c r="O36">
        <v>27634</v>
      </c>
      <c r="P36" t="str">
        <f t="shared" si="7"/>
        <v>No</v>
      </c>
      <c r="Q36">
        <v>6</v>
      </c>
      <c r="R36" t="s">
        <v>17</v>
      </c>
      <c r="S36" t="str">
        <f t="shared" si="8"/>
        <v>Sneha</v>
      </c>
      <c r="T36" t="str">
        <f t="shared" si="9"/>
        <v>IT</v>
      </c>
      <c r="U36" t="str">
        <f t="shared" si="10"/>
        <v>Leave</v>
      </c>
      <c r="V36" s="4">
        <f t="shared" si="11"/>
        <v>0</v>
      </c>
      <c r="W36" t="str">
        <f t="shared" si="12"/>
        <v>OK</v>
      </c>
    </row>
    <row r="37" spans="1:23" x14ac:dyDescent="0.25">
      <c r="A37" t="s">
        <v>73</v>
      </c>
      <c r="B37" t="s">
        <v>36</v>
      </c>
      <c r="C37" t="s">
        <v>20</v>
      </c>
      <c r="D37" t="s">
        <v>37</v>
      </c>
      <c r="E37" t="s">
        <v>10</v>
      </c>
      <c r="F37" s="2">
        <v>45710</v>
      </c>
      <c r="G37" t="str">
        <f t="shared" si="5"/>
        <v>February</v>
      </c>
      <c r="H37" t="s">
        <v>40</v>
      </c>
      <c r="I37">
        <v>0</v>
      </c>
      <c r="J37">
        <v>0</v>
      </c>
      <c r="K37">
        <v>0</v>
      </c>
      <c r="L37">
        <v>7</v>
      </c>
      <c r="M37">
        <v>16</v>
      </c>
      <c r="N37" s="4">
        <f t="shared" si="6"/>
        <v>0</v>
      </c>
      <c r="O37">
        <v>28546</v>
      </c>
      <c r="P37" t="str">
        <f t="shared" si="7"/>
        <v>No</v>
      </c>
      <c r="Q37">
        <v>7</v>
      </c>
      <c r="R37" t="s">
        <v>17</v>
      </c>
      <c r="S37" t="str">
        <f t="shared" si="8"/>
        <v>Varun</v>
      </c>
      <c r="T37" t="str">
        <f t="shared" si="9"/>
        <v>SALES</v>
      </c>
      <c r="U37" t="str">
        <f t="shared" si="10"/>
        <v>Leave</v>
      </c>
      <c r="V37" s="4">
        <f t="shared" si="11"/>
        <v>0</v>
      </c>
      <c r="W37" t="str">
        <f t="shared" si="12"/>
        <v>OK</v>
      </c>
    </row>
    <row r="38" spans="1:23" x14ac:dyDescent="0.25">
      <c r="A38" t="s">
        <v>74</v>
      </c>
      <c r="B38" t="s">
        <v>14</v>
      </c>
      <c r="C38" t="s">
        <v>15</v>
      </c>
      <c r="D38" t="s">
        <v>33</v>
      </c>
      <c r="E38" t="s">
        <v>21</v>
      </c>
      <c r="F38" s="2">
        <v>45711</v>
      </c>
      <c r="G38" t="str">
        <f t="shared" si="5"/>
        <v>February</v>
      </c>
      <c r="H38" t="s">
        <v>11</v>
      </c>
      <c r="I38">
        <v>8</v>
      </c>
      <c r="J38">
        <v>0</v>
      </c>
      <c r="K38">
        <v>10</v>
      </c>
      <c r="L38">
        <v>4</v>
      </c>
      <c r="M38">
        <v>13</v>
      </c>
      <c r="N38" s="4">
        <f t="shared" si="6"/>
        <v>0.76923076923076927</v>
      </c>
      <c r="O38">
        <v>27053</v>
      </c>
      <c r="P38" t="str">
        <f t="shared" si="7"/>
        <v>No</v>
      </c>
      <c r="Q38">
        <v>4</v>
      </c>
      <c r="R38" t="s">
        <v>26</v>
      </c>
      <c r="S38" t="str">
        <f t="shared" si="8"/>
        <v>Pooja</v>
      </c>
      <c r="T38" t="str">
        <f t="shared" si="9"/>
        <v>FINANCE</v>
      </c>
      <c r="U38" t="str">
        <f t="shared" si="10"/>
        <v>Wfh</v>
      </c>
      <c r="V38" s="4">
        <f t="shared" si="11"/>
        <v>0.76923076923076927</v>
      </c>
      <c r="W38" t="str">
        <f t="shared" si="12"/>
        <v>OK</v>
      </c>
    </row>
    <row r="39" spans="1:23" x14ac:dyDescent="0.25">
      <c r="A39" t="s">
        <v>75</v>
      </c>
      <c r="B39" t="s">
        <v>39</v>
      </c>
      <c r="C39" t="s">
        <v>29</v>
      </c>
      <c r="D39" t="s">
        <v>49</v>
      </c>
      <c r="E39" t="s">
        <v>34</v>
      </c>
      <c r="F39" s="2">
        <v>45712</v>
      </c>
      <c r="G39" t="str">
        <f t="shared" si="5"/>
        <v>February</v>
      </c>
      <c r="H39" t="s">
        <v>11</v>
      </c>
      <c r="I39">
        <v>8</v>
      </c>
      <c r="J39">
        <v>0</v>
      </c>
      <c r="K39">
        <v>5</v>
      </c>
      <c r="L39">
        <v>3</v>
      </c>
      <c r="M39">
        <v>13</v>
      </c>
      <c r="N39" s="4">
        <f t="shared" si="6"/>
        <v>0.38461538461538464</v>
      </c>
      <c r="O39">
        <v>40611</v>
      </c>
      <c r="P39" t="str">
        <f t="shared" si="7"/>
        <v>No</v>
      </c>
      <c r="Q39">
        <v>3</v>
      </c>
      <c r="R39" t="s">
        <v>23</v>
      </c>
      <c r="S39" t="str">
        <f t="shared" si="8"/>
        <v>Ravi</v>
      </c>
      <c r="T39" t="str">
        <f t="shared" si="9"/>
        <v>HR</v>
      </c>
      <c r="U39" t="str">
        <f t="shared" si="10"/>
        <v>Wfh</v>
      </c>
      <c r="V39" s="4">
        <f t="shared" si="11"/>
        <v>0.38461538461538464</v>
      </c>
      <c r="W39" t="str">
        <f t="shared" si="12"/>
        <v>OK</v>
      </c>
    </row>
    <row r="40" spans="1:23" x14ac:dyDescent="0.25">
      <c r="A40" t="s">
        <v>76</v>
      </c>
      <c r="B40" t="s">
        <v>39</v>
      </c>
      <c r="C40" t="s">
        <v>8</v>
      </c>
      <c r="D40" t="s">
        <v>37</v>
      </c>
      <c r="E40" t="s">
        <v>21</v>
      </c>
      <c r="F40" s="2">
        <v>45713</v>
      </c>
      <c r="G40" t="str">
        <f t="shared" si="5"/>
        <v>February</v>
      </c>
      <c r="H40" t="s">
        <v>22</v>
      </c>
      <c r="I40">
        <v>8</v>
      </c>
      <c r="J40">
        <v>3</v>
      </c>
      <c r="K40">
        <v>18</v>
      </c>
      <c r="L40">
        <v>3</v>
      </c>
      <c r="M40">
        <v>19</v>
      </c>
      <c r="N40" s="4">
        <f t="shared" si="6"/>
        <v>0.94736842105263153</v>
      </c>
      <c r="O40">
        <v>28977</v>
      </c>
      <c r="P40" t="str">
        <f t="shared" si="7"/>
        <v>Yes</v>
      </c>
      <c r="Q40">
        <v>3</v>
      </c>
      <c r="R40" t="s">
        <v>23</v>
      </c>
      <c r="S40" t="str">
        <f t="shared" si="8"/>
        <v>Ravi</v>
      </c>
      <c r="T40" t="str">
        <f t="shared" si="9"/>
        <v>IT</v>
      </c>
      <c r="U40" t="str">
        <f t="shared" si="10"/>
        <v>Present</v>
      </c>
      <c r="V40" s="4">
        <f t="shared" si="11"/>
        <v>0.94736842105263153</v>
      </c>
      <c r="W40" t="str">
        <f t="shared" si="12"/>
        <v>OK</v>
      </c>
    </row>
    <row r="41" spans="1:23" x14ac:dyDescent="0.25">
      <c r="A41" t="s">
        <v>77</v>
      </c>
      <c r="B41" t="s">
        <v>32</v>
      </c>
      <c r="C41" t="s">
        <v>20</v>
      </c>
      <c r="D41" t="s">
        <v>45</v>
      </c>
      <c r="E41" t="s">
        <v>10</v>
      </c>
      <c r="F41" s="2">
        <v>45714</v>
      </c>
      <c r="G41" t="str">
        <f t="shared" si="5"/>
        <v>February</v>
      </c>
      <c r="H41" t="s">
        <v>11</v>
      </c>
      <c r="I41">
        <v>8</v>
      </c>
      <c r="J41">
        <v>0</v>
      </c>
      <c r="K41">
        <v>7</v>
      </c>
      <c r="L41">
        <v>7</v>
      </c>
      <c r="M41">
        <v>10</v>
      </c>
      <c r="N41" s="4">
        <f t="shared" si="6"/>
        <v>0.7</v>
      </c>
      <c r="O41">
        <v>34392</v>
      </c>
      <c r="P41" t="str">
        <f t="shared" si="7"/>
        <v>No</v>
      </c>
      <c r="Q41">
        <v>7</v>
      </c>
      <c r="R41" t="s">
        <v>17</v>
      </c>
      <c r="S41" t="str">
        <f t="shared" si="8"/>
        <v>Sneha</v>
      </c>
      <c r="T41" t="str">
        <f t="shared" si="9"/>
        <v>SALES</v>
      </c>
      <c r="U41" t="str">
        <f t="shared" si="10"/>
        <v>Wfh</v>
      </c>
      <c r="V41" s="4">
        <f t="shared" si="11"/>
        <v>0.7</v>
      </c>
      <c r="W41" t="str">
        <f t="shared" si="12"/>
        <v>OK</v>
      </c>
    </row>
    <row r="42" spans="1:23" x14ac:dyDescent="0.25">
      <c r="A42" t="s">
        <v>78</v>
      </c>
      <c r="B42" t="s">
        <v>19</v>
      </c>
      <c r="C42" t="s">
        <v>29</v>
      </c>
      <c r="D42" t="s">
        <v>45</v>
      </c>
      <c r="E42" t="s">
        <v>42</v>
      </c>
      <c r="F42" s="2">
        <v>45715</v>
      </c>
      <c r="G42" t="str">
        <f t="shared" si="5"/>
        <v>February</v>
      </c>
      <c r="H42" t="s">
        <v>11</v>
      </c>
      <c r="I42">
        <v>8</v>
      </c>
      <c r="J42">
        <v>0</v>
      </c>
      <c r="K42">
        <v>13</v>
      </c>
      <c r="L42">
        <v>9</v>
      </c>
      <c r="M42">
        <v>19</v>
      </c>
      <c r="N42" s="4">
        <f t="shared" si="6"/>
        <v>0.68421052631578949</v>
      </c>
      <c r="O42">
        <v>44371</v>
      </c>
      <c r="P42" t="str">
        <f t="shared" si="7"/>
        <v>No</v>
      </c>
      <c r="Q42">
        <v>9</v>
      </c>
      <c r="R42" t="s">
        <v>12</v>
      </c>
      <c r="S42" t="str">
        <f t="shared" si="8"/>
        <v>Priya</v>
      </c>
      <c r="T42" t="str">
        <f t="shared" si="9"/>
        <v>HR</v>
      </c>
      <c r="U42" t="str">
        <f t="shared" si="10"/>
        <v>Wfh</v>
      </c>
      <c r="V42" s="4">
        <f t="shared" si="11"/>
        <v>0.68421052631578949</v>
      </c>
      <c r="W42" t="str">
        <f t="shared" si="12"/>
        <v>OK</v>
      </c>
    </row>
    <row r="43" spans="1:23" x14ac:dyDescent="0.25">
      <c r="A43" t="s">
        <v>79</v>
      </c>
      <c r="B43" t="s">
        <v>32</v>
      </c>
      <c r="C43" t="s">
        <v>29</v>
      </c>
      <c r="D43" t="s">
        <v>33</v>
      </c>
      <c r="E43" t="s">
        <v>34</v>
      </c>
      <c r="F43" s="2">
        <v>45716</v>
      </c>
      <c r="G43" t="str">
        <f t="shared" si="5"/>
        <v>February</v>
      </c>
      <c r="H43" t="s">
        <v>40</v>
      </c>
      <c r="I43">
        <v>0</v>
      </c>
      <c r="J43">
        <v>0</v>
      </c>
      <c r="K43">
        <v>0</v>
      </c>
      <c r="L43">
        <v>7</v>
      </c>
      <c r="M43">
        <v>12</v>
      </c>
      <c r="N43" s="4">
        <f t="shared" si="6"/>
        <v>0</v>
      </c>
      <c r="O43">
        <v>28475</v>
      </c>
      <c r="P43" t="str">
        <f t="shared" si="7"/>
        <v>No</v>
      </c>
      <c r="Q43">
        <v>7</v>
      </c>
      <c r="R43" t="s">
        <v>17</v>
      </c>
      <c r="S43" t="str">
        <f t="shared" si="8"/>
        <v>Sneha</v>
      </c>
      <c r="T43" t="str">
        <f t="shared" si="9"/>
        <v>HR</v>
      </c>
      <c r="U43" t="str">
        <f t="shared" si="10"/>
        <v>Leave</v>
      </c>
      <c r="V43" s="4">
        <f t="shared" si="11"/>
        <v>0</v>
      </c>
      <c r="W43" t="str">
        <f t="shared" si="12"/>
        <v>OK</v>
      </c>
    </row>
    <row r="44" spans="1:23" x14ac:dyDescent="0.25">
      <c r="A44" t="s">
        <v>80</v>
      </c>
      <c r="B44" t="s">
        <v>25</v>
      </c>
      <c r="C44" t="s">
        <v>8</v>
      </c>
      <c r="D44" t="s">
        <v>33</v>
      </c>
      <c r="E44" t="s">
        <v>34</v>
      </c>
      <c r="F44" s="2">
        <v>45717</v>
      </c>
      <c r="G44" t="str">
        <f t="shared" si="5"/>
        <v>March</v>
      </c>
      <c r="H44" t="s">
        <v>30</v>
      </c>
      <c r="I44">
        <v>0</v>
      </c>
      <c r="J44">
        <v>0</v>
      </c>
      <c r="K44">
        <v>0</v>
      </c>
      <c r="L44">
        <v>4</v>
      </c>
      <c r="M44">
        <v>12</v>
      </c>
      <c r="N44" s="4">
        <f t="shared" si="6"/>
        <v>0</v>
      </c>
      <c r="O44">
        <v>42612</v>
      </c>
      <c r="P44" t="str">
        <f t="shared" si="7"/>
        <v>No</v>
      </c>
      <c r="Q44">
        <v>4</v>
      </c>
      <c r="R44" t="s">
        <v>26</v>
      </c>
      <c r="S44" t="str">
        <f t="shared" si="8"/>
        <v>Arjun</v>
      </c>
      <c r="T44" t="str">
        <f t="shared" si="9"/>
        <v>IT</v>
      </c>
      <c r="U44" t="str">
        <f t="shared" si="10"/>
        <v>Absent</v>
      </c>
      <c r="V44" s="4">
        <f t="shared" si="11"/>
        <v>0</v>
      </c>
      <c r="W44" t="str">
        <f t="shared" si="12"/>
        <v>OK</v>
      </c>
    </row>
    <row r="45" spans="1:23" x14ac:dyDescent="0.25">
      <c r="A45" t="s">
        <v>81</v>
      </c>
      <c r="B45" t="s">
        <v>36</v>
      </c>
      <c r="C45" t="s">
        <v>29</v>
      </c>
      <c r="D45" t="s">
        <v>45</v>
      </c>
      <c r="E45" t="s">
        <v>21</v>
      </c>
      <c r="F45" s="2">
        <v>45718</v>
      </c>
      <c r="G45" t="str">
        <f t="shared" si="5"/>
        <v>March</v>
      </c>
      <c r="H45" t="s">
        <v>40</v>
      </c>
      <c r="I45">
        <v>0</v>
      </c>
      <c r="J45">
        <v>0</v>
      </c>
      <c r="K45">
        <v>0</v>
      </c>
      <c r="L45">
        <v>3</v>
      </c>
      <c r="M45">
        <v>15</v>
      </c>
      <c r="N45" s="4">
        <f t="shared" si="6"/>
        <v>0</v>
      </c>
      <c r="O45">
        <v>39865</v>
      </c>
      <c r="P45" t="str">
        <f t="shared" si="7"/>
        <v>No</v>
      </c>
      <c r="Q45">
        <v>3</v>
      </c>
      <c r="R45" t="s">
        <v>23</v>
      </c>
      <c r="S45" t="str">
        <f t="shared" si="8"/>
        <v>Varun</v>
      </c>
      <c r="T45" t="str">
        <f t="shared" si="9"/>
        <v>HR</v>
      </c>
      <c r="U45" t="str">
        <f t="shared" si="10"/>
        <v>Leave</v>
      </c>
      <c r="V45" s="4">
        <f t="shared" si="11"/>
        <v>0</v>
      </c>
      <c r="W45" t="str">
        <f t="shared" si="12"/>
        <v>OK</v>
      </c>
    </row>
    <row r="46" spans="1:23" x14ac:dyDescent="0.25">
      <c r="A46" t="s">
        <v>82</v>
      </c>
      <c r="B46" t="s">
        <v>7</v>
      </c>
      <c r="C46" t="s">
        <v>15</v>
      </c>
      <c r="D46" t="s">
        <v>16</v>
      </c>
      <c r="E46" t="s">
        <v>42</v>
      </c>
      <c r="F46" s="2">
        <v>45719</v>
      </c>
      <c r="G46" t="str">
        <f t="shared" si="5"/>
        <v>March</v>
      </c>
      <c r="H46" t="s">
        <v>40</v>
      </c>
      <c r="I46">
        <v>0</v>
      </c>
      <c r="J46">
        <v>0</v>
      </c>
      <c r="K46">
        <v>0</v>
      </c>
      <c r="L46">
        <v>5</v>
      </c>
      <c r="M46">
        <v>18</v>
      </c>
      <c r="N46" s="4">
        <f t="shared" si="6"/>
        <v>0</v>
      </c>
      <c r="O46">
        <v>49289</v>
      </c>
      <c r="P46" t="str">
        <f t="shared" si="7"/>
        <v>No</v>
      </c>
      <c r="Q46">
        <v>5</v>
      </c>
      <c r="R46" t="s">
        <v>17</v>
      </c>
      <c r="S46" t="str">
        <f t="shared" si="8"/>
        <v>Meena</v>
      </c>
      <c r="T46" t="str">
        <f t="shared" si="9"/>
        <v>FINANCE</v>
      </c>
      <c r="U46" t="str">
        <f t="shared" si="10"/>
        <v>Leave</v>
      </c>
      <c r="V46" s="4">
        <f t="shared" si="11"/>
        <v>0</v>
      </c>
      <c r="W46" t="str">
        <f t="shared" si="12"/>
        <v>OK</v>
      </c>
    </row>
    <row r="47" spans="1:23" x14ac:dyDescent="0.25">
      <c r="A47" t="s">
        <v>83</v>
      </c>
      <c r="B47" t="s">
        <v>44</v>
      </c>
      <c r="C47" t="s">
        <v>15</v>
      </c>
      <c r="D47" t="s">
        <v>16</v>
      </c>
      <c r="E47" t="s">
        <v>34</v>
      </c>
      <c r="F47" s="2">
        <v>45720</v>
      </c>
      <c r="G47" t="str">
        <f t="shared" si="5"/>
        <v>March</v>
      </c>
      <c r="H47" t="s">
        <v>30</v>
      </c>
      <c r="I47">
        <v>0</v>
      </c>
      <c r="J47">
        <v>0</v>
      </c>
      <c r="K47">
        <v>0</v>
      </c>
      <c r="L47">
        <v>8</v>
      </c>
      <c r="M47">
        <v>19</v>
      </c>
      <c r="N47" s="4">
        <f t="shared" si="6"/>
        <v>0</v>
      </c>
      <c r="O47">
        <v>47597</v>
      </c>
      <c r="P47" t="str">
        <f t="shared" si="7"/>
        <v>No</v>
      </c>
      <c r="Q47">
        <v>8</v>
      </c>
      <c r="R47" t="s">
        <v>12</v>
      </c>
      <c r="S47" t="str">
        <f t="shared" si="8"/>
        <v>Rohit</v>
      </c>
      <c r="T47" t="str">
        <f t="shared" si="9"/>
        <v>FINANCE</v>
      </c>
      <c r="U47" t="str">
        <f t="shared" si="10"/>
        <v>Absent</v>
      </c>
      <c r="V47" s="4">
        <f t="shared" si="11"/>
        <v>0</v>
      </c>
      <c r="W47" t="str">
        <f t="shared" si="12"/>
        <v>OK</v>
      </c>
    </row>
    <row r="48" spans="1:23" x14ac:dyDescent="0.25">
      <c r="A48" t="s">
        <v>84</v>
      </c>
      <c r="B48" t="s">
        <v>44</v>
      </c>
      <c r="C48" t="s">
        <v>29</v>
      </c>
      <c r="D48" t="s">
        <v>45</v>
      </c>
      <c r="E48" t="s">
        <v>21</v>
      </c>
      <c r="F48" s="2">
        <v>45721</v>
      </c>
      <c r="G48" t="str">
        <f t="shared" si="5"/>
        <v>March</v>
      </c>
      <c r="H48" t="s">
        <v>22</v>
      </c>
      <c r="I48">
        <v>8</v>
      </c>
      <c r="J48">
        <v>3</v>
      </c>
      <c r="K48">
        <v>11</v>
      </c>
      <c r="L48">
        <v>8</v>
      </c>
      <c r="M48">
        <v>20</v>
      </c>
      <c r="N48" s="4">
        <f t="shared" si="6"/>
        <v>0.55000000000000004</v>
      </c>
      <c r="O48">
        <v>37648</v>
      </c>
      <c r="P48" t="str">
        <f t="shared" si="7"/>
        <v>No</v>
      </c>
      <c r="Q48">
        <v>8</v>
      </c>
      <c r="R48" t="s">
        <v>12</v>
      </c>
      <c r="S48" t="str">
        <f t="shared" si="8"/>
        <v>Rohit</v>
      </c>
      <c r="T48" t="str">
        <f t="shared" si="9"/>
        <v>HR</v>
      </c>
      <c r="U48" t="str">
        <f t="shared" si="10"/>
        <v>Present</v>
      </c>
      <c r="V48" s="4">
        <f t="shared" si="11"/>
        <v>0.55000000000000004</v>
      </c>
      <c r="W48" t="str">
        <f t="shared" si="12"/>
        <v>OK</v>
      </c>
    </row>
    <row r="49" spans="1:23" x14ac:dyDescent="0.25">
      <c r="A49" t="s">
        <v>85</v>
      </c>
      <c r="B49" t="s">
        <v>7</v>
      </c>
      <c r="C49" t="s">
        <v>15</v>
      </c>
      <c r="D49" t="s">
        <v>9</v>
      </c>
      <c r="E49" t="s">
        <v>42</v>
      </c>
      <c r="F49" s="2">
        <v>45722</v>
      </c>
      <c r="G49" t="str">
        <f t="shared" si="5"/>
        <v>March</v>
      </c>
      <c r="H49" t="s">
        <v>40</v>
      </c>
      <c r="I49">
        <v>0</v>
      </c>
      <c r="J49">
        <v>0</v>
      </c>
      <c r="K49">
        <v>0</v>
      </c>
      <c r="L49">
        <v>6</v>
      </c>
      <c r="M49">
        <v>17</v>
      </c>
      <c r="N49" s="4">
        <f t="shared" si="6"/>
        <v>0</v>
      </c>
      <c r="O49">
        <v>38780</v>
      </c>
      <c r="P49" t="str">
        <f t="shared" si="7"/>
        <v>No</v>
      </c>
      <c r="Q49">
        <v>6</v>
      </c>
      <c r="R49" t="s">
        <v>26</v>
      </c>
      <c r="S49" t="str">
        <f t="shared" si="8"/>
        <v>Meena</v>
      </c>
      <c r="T49" t="str">
        <f t="shared" si="9"/>
        <v>FINANCE</v>
      </c>
      <c r="U49" t="str">
        <f t="shared" si="10"/>
        <v>Leave</v>
      </c>
      <c r="V49" s="4">
        <f t="shared" si="11"/>
        <v>0</v>
      </c>
      <c r="W49" t="str">
        <f t="shared" si="12"/>
        <v>OK</v>
      </c>
    </row>
    <row r="50" spans="1:23" x14ac:dyDescent="0.25">
      <c r="A50" t="s">
        <v>86</v>
      </c>
      <c r="B50" t="s">
        <v>7</v>
      </c>
      <c r="C50" t="s">
        <v>20</v>
      </c>
      <c r="D50" t="s">
        <v>9</v>
      </c>
      <c r="E50" t="s">
        <v>10</v>
      </c>
      <c r="F50" s="2">
        <v>45723</v>
      </c>
      <c r="G50" t="str">
        <f t="shared" si="5"/>
        <v>March</v>
      </c>
      <c r="H50" t="s">
        <v>22</v>
      </c>
      <c r="I50">
        <v>8</v>
      </c>
      <c r="J50">
        <v>0</v>
      </c>
      <c r="K50">
        <v>18</v>
      </c>
      <c r="L50">
        <v>5</v>
      </c>
      <c r="M50">
        <v>17</v>
      </c>
      <c r="N50" s="4">
        <f t="shared" si="6"/>
        <v>1.0588235294117647</v>
      </c>
      <c r="O50">
        <v>34990</v>
      </c>
      <c r="P50" t="str">
        <f t="shared" si="7"/>
        <v>Yes</v>
      </c>
      <c r="Q50">
        <v>5</v>
      </c>
      <c r="R50" t="s">
        <v>26</v>
      </c>
      <c r="S50" t="str">
        <f t="shared" si="8"/>
        <v>Meena</v>
      </c>
      <c r="T50" t="str">
        <f t="shared" si="9"/>
        <v>SALES</v>
      </c>
      <c r="U50" t="str">
        <f t="shared" si="10"/>
        <v>Present</v>
      </c>
      <c r="V50" s="4">
        <f t="shared" si="11"/>
        <v>1.0588235294117647</v>
      </c>
      <c r="W50" t="str">
        <f t="shared" si="12"/>
        <v>OK</v>
      </c>
    </row>
    <row r="51" spans="1:23" x14ac:dyDescent="0.25">
      <c r="A51" t="s">
        <v>87</v>
      </c>
      <c r="B51" t="s">
        <v>14</v>
      </c>
      <c r="C51" t="s">
        <v>8</v>
      </c>
      <c r="D51" t="s">
        <v>45</v>
      </c>
      <c r="E51" t="s">
        <v>42</v>
      </c>
      <c r="F51" s="2">
        <v>45724</v>
      </c>
      <c r="G51" t="str">
        <f t="shared" si="5"/>
        <v>March</v>
      </c>
      <c r="H51" t="s">
        <v>40</v>
      </c>
      <c r="I51">
        <v>0</v>
      </c>
      <c r="J51">
        <v>0</v>
      </c>
      <c r="K51">
        <v>0</v>
      </c>
      <c r="L51">
        <v>3</v>
      </c>
      <c r="M51">
        <v>19</v>
      </c>
      <c r="N51" s="4">
        <f t="shared" si="6"/>
        <v>0</v>
      </c>
      <c r="O51">
        <v>45187</v>
      </c>
      <c r="P51" t="str">
        <f t="shared" si="7"/>
        <v>No</v>
      </c>
      <c r="Q51">
        <v>3</v>
      </c>
      <c r="R51" t="s">
        <v>23</v>
      </c>
      <c r="S51" t="str">
        <f t="shared" si="8"/>
        <v>Pooja</v>
      </c>
      <c r="T51" t="str">
        <f t="shared" si="9"/>
        <v>IT</v>
      </c>
      <c r="U51" t="str">
        <f t="shared" si="10"/>
        <v>Leave</v>
      </c>
      <c r="V51" s="4">
        <f t="shared" si="11"/>
        <v>0</v>
      </c>
      <c r="W51" t="str">
        <f t="shared" si="12"/>
        <v>OK</v>
      </c>
    </row>
    <row r="52" spans="1:23" x14ac:dyDescent="0.25">
      <c r="A52" t="s">
        <v>88</v>
      </c>
      <c r="B52" t="s">
        <v>28</v>
      </c>
      <c r="C52" t="s">
        <v>20</v>
      </c>
      <c r="D52" t="s">
        <v>16</v>
      </c>
      <c r="E52" t="s">
        <v>21</v>
      </c>
      <c r="F52" s="2">
        <v>45725</v>
      </c>
      <c r="G52" t="str">
        <f t="shared" si="5"/>
        <v>March</v>
      </c>
      <c r="H52" t="s">
        <v>40</v>
      </c>
      <c r="I52">
        <v>0</v>
      </c>
      <c r="J52">
        <v>0</v>
      </c>
      <c r="K52">
        <v>0</v>
      </c>
      <c r="L52">
        <v>6</v>
      </c>
      <c r="M52">
        <v>18</v>
      </c>
      <c r="N52" s="4">
        <f t="shared" si="6"/>
        <v>0</v>
      </c>
      <c r="O52">
        <v>28002</v>
      </c>
      <c r="P52" t="str">
        <f t="shared" si="7"/>
        <v>No</v>
      </c>
      <c r="Q52">
        <v>6</v>
      </c>
      <c r="R52" t="s">
        <v>26</v>
      </c>
      <c r="S52" t="str">
        <f t="shared" si="8"/>
        <v>Kiran</v>
      </c>
      <c r="T52" t="str">
        <f t="shared" si="9"/>
        <v>SALES</v>
      </c>
      <c r="U52" t="str">
        <f t="shared" si="10"/>
        <v>Leave</v>
      </c>
      <c r="V52" s="4">
        <f t="shared" si="11"/>
        <v>0</v>
      </c>
      <c r="W52" t="str">
        <f t="shared" si="12"/>
        <v>OK</v>
      </c>
    </row>
    <row r="53" spans="1:23" x14ac:dyDescent="0.25">
      <c r="A53" t="s">
        <v>89</v>
      </c>
      <c r="B53" t="s">
        <v>39</v>
      </c>
      <c r="C53" t="s">
        <v>15</v>
      </c>
      <c r="D53" t="s">
        <v>37</v>
      </c>
      <c r="E53" t="s">
        <v>10</v>
      </c>
      <c r="F53" s="2">
        <v>45726</v>
      </c>
      <c r="G53" t="str">
        <f t="shared" si="5"/>
        <v>March</v>
      </c>
      <c r="H53" t="s">
        <v>40</v>
      </c>
      <c r="I53">
        <v>0</v>
      </c>
      <c r="J53">
        <v>0</v>
      </c>
      <c r="K53">
        <v>0</v>
      </c>
      <c r="L53">
        <v>6</v>
      </c>
      <c r="M53">
        <v>19</v>
      </c>
      <c r="N53" s="4">
        <f t="shared" si="6"/>
        <v>0</v>
      </c>
      <c r="O53">
        <v>29635</v>
      </c>
      <c r="P53" t="str">
        <f t="shared" si="7"/>
        <v>No</v>
      </c>
      <c r="Q53">
        <v>6</v>
      </c>
      <c r="R53" t="s">
        <v>26</v>
      </c>
      <c r="S53" t="str">
        <f t="shared" si="8"/>
        <v>Ravi</v>
      </c>
      <c r="T53" t="str">
        <f t="shared" si="9"/>
        <v>FINANCE</v>
      </c>
      <c r="U53" t="str">
        <f t="shared" si="10"/>
        <v>Leave</v>
      </c>
      <c r="V53" s="4">
        <f t="shared" si="11"/>
        <v>0</v>
      </c>
      <c r="W53" t="str">
        <f t="shared" si="12"/>
        <v>OK</v>
      </c>
    </row>
    <row r="54" spans="1:23" x14ac:dyDescent="0.25">
      <c r="A54" t="s">
        <v>90</v>
      </c>
      <c r="B54" t="s">
        <v>14</v>
      </c>
      <c r="C54" t="s">
        <v>15</v>
      </c>
      <c r="D54" t="s">
        <v>45</v>
      </c>
      <c r="E54" t="s">
        <v>34</v>
      </c>
      <c r="F54" s="2">
        <v>45727</v>
      </c>
      <c r="G54" t="str">
        <f t="shared" si="5"/>
        <v>March</v>
      </c>
      <c r="H54" t="s">
        <v>22</v>
      </c>
      <c r="I54">
        <v>8</v>
      </c>
      <c r="J54">
        <v>2</v>
      </c>
      <c r="K54">
        <v>8</v>
      </c>
      <c r="L54">
        <v>8</v>
      </c>
      <c r="M54">
        <v>11</v>
      </c>
      <c r="N54" s="4">
        <f t="shared" si="6"/>
        <v>0.72727272727272729</v>
      </c>
      <c r="O54">
        <v>25256</v>
      </c>
      <c r="P54" t="str">
        <f t="shared" si="7"/>
        <v>No</v>
      </c>
      <c r="Q54">
        <v>8</v>
      </c>
      <c r="R54" t="s">
        <v>12</v>
      </c>
      <c r="S54" t="str">
        <f t="shared" si="8"/>
        <v>Pooja</v>
      </c>
      <c r="T54" t="str">
        <f t="shared" si="9"/>
        <v>FINANCE</v>
      </c>
      <c r="U54" t="str">
        <f t="shared" si="10"/>
        <v>Present</v>
      </c>
      <c r="V54" s="4">
        <f t="shared" si="11"/>
        <v>0.72727272727272729</v>
      </c>
      <c r="W54" t="str">
        <f t="shared" si="12"/>
        <v>OK</v>
      </c>
    </row>
    <row r="55" spans="1:23" x14ac:dyDescent="0.25">
      <c r="A55" t="s">
        <v>91</v>
      </c>
      <c r="B55" t="s">
        <v>44</v>
      </c>
      <c r="C55" t="s">
        <v>20</v>
      </c>
      <c r="D55" t="s">
        <v>33</v>
      </c>
      <c r="E55" t="s">
        <v>10</v>
      </c>
      <c r="F55" s="2">
        <v>45728</v>
      </c>
      <c r="G55" t="str">
        <f t="shared" si="5"/>
        <v>March</v>
      </c>
      <c r="H55" t="s">
        <v>11</v>
      </c>
      <c r="I55">
        <v>8</v>
      </c>
      <c r="J55">
        <v>0</v>
      </c>
      <c r="K55">
        <v>20</v>
      </c>
      <c r="L55">
        <v>5</v>
      </c>
      <c r="M55">
        <v>18</v>
      </c>
      <c r="N55" s="4">
        <f t="shared" si="6"/>
        <v>1.1111111111111112</v>
      </c>
      <c r="O55">
        <v>42732</v>
      </c>
      <c r="P55" t="str">
        <f t="shared" si="7"/>
        <v>Yes</v>
      </c>
      <c r="Q55">
        <v>5</v>
      </c>
      <c r="R55" t="s">
        <v>17</v>
      </c>
      <c r="S55" t="str">
        <f t="shared" si="8"/>
        <v>Rohit</v>
      </c>
      <c r="T55" t="str">
        <f t="shared" si="9"/>
        <v>SALES</v>
      </c>
      <c r="U55" t="str">
        <f t="shared" si="10"/>
        <v>Wfh</v>
      </c>
      <c r="V55" s="4">
        <f t="shared" si="11"/>
        <v>1.1111111111111112</v>
      </c>
      <c r="W55" t="str">
        <f t="shared" si="12"/>
        <v>OK</v>
      </c>
    </row>
    <row r="56" spans="1:23" x14ac:dyDescent="0.25">
      <c r="A56" t="s">
        <v>92</v>
      </c>
      <c r="B56" t="s">
        <v>36</v>
      </c>
      <c r="C56" t="s">
        <v>29</v>
      </c>
      <c r="D56" t="s">
        <v>49</v>
      </c>
      <c r="E56" t="s">
        <v>42</v>
      </c>
      <c r="F56" s="2">
        <v>45729</v>
      </c>
      <c r="G56" t="str">
        <f t="shared" si="5"/>
        <v>March</v>
      </c>
      <c r="H56" t="s">
        <v>40</v>
      </c>
      <c r="I56">
        <v>0</v>
      </c>
      <c r="J56">
        <v>0</v>
      </c>
      <c r="K56">
        <v>0</v>
      </c>
      <c r="L56">
        <v>8</v>
      </c>
      <c r="M56">
        <v>16</v>
      </c>
      <c r="N56" s="4">
        <f t="shared" si="6"/>
        <v>0</v>
      </c>
      <c r="O56">
        <v>45019</v>
      </c>
      <c r="P56" t="str">
        <f t="shared" si="7"/>
        <v>No</v>
      </c>
      <c r="Q56">
        <v>8</v>
      </c>
      <c r="R56" t="s">
        <v>12</v>
      </c>
      <c r="S56" t="str">
        <f t="shared" si="8"/>
        <v>Varun</v>
      </c>
      <c r="T56" t="str">
        <f t="shared" si="9"/>
        <v>HR</v>
      </c>
      <c r="U56" t="str">
        <f t="shared" si="10"/>
        <v>Leave</v>
      </c>
      <c r="V56" s="4">
        <f t="shared" si="11"/>
        <v>0</v>
      </c>
      <c r="W56" t="str">
        <f t="shared" si="12"/>
        <v>OK</v>
      </c>
    </row>
    <row r="57" spans="1:23" x14ac:dyDescent="0.25">
      <c r="A57" t="s">
        <v>93</v>
      </c>
      <c r="B57" t="s">
        <v>44</v>
      </c>
      <c r="C57" t="s">
        <v>8</v>
      </c>
      <c r="D57" t="s">
        <v>9</v>
      </c>
      <c r="E57" t="s">
        <v>21</v>
      </c>
      <c r="F57" s="2">
        <v>45730</v>
      </c>
      <c r="G57" t="str">
        <f t="shared" si="5"/>
        <v>March</v>
      </c>
      <c r="H57" t="s">
        <v>11</v>
      </c>
      <c r="I57">
        <v>8</v>
      </c>
      <c r="J57">
        <v>0</v>
      </c>
      <c r="K57">
        <v>14</v>
      </c>
      <c r="L57">
        <v>4</v>
      </c>
      <c r="M57">
        <v>17</v>
      </c>
      <c r="N57" s="4">
        <f t="shared" si="6"/>
        <v>0.82352941176470584</v>
      </c>
      <c r="O57">
        <v>45171</v>
      </c>
      <c r="P57" t="str">
        <f t="shared" si="7"/>
        <v>No</v>
      </c>
      <c r="Q57">
        <v>4</v>
      </c>
      <c r="R57" t="s">
        <v>26</v>
      </c>
      <c r="S57" t="str">
        <f t="shared" si="8"/>
        <v>Rohit</v>
      </c>
      <c r="T57" t="str">
        <f t="shared" si="9"/>
        <v>IT</v>
      </c>
      <c r="U57" t="str">
        <f t="shared" si="10"/>
        <v>Wfh</v>
      </c>
      <c r="V57" s="4">
        <f t="shared" si="11"/>
        <v>0.82352941176470584</v>
      </c>
      <c r="W57" t="str">
        <f t="shared" si="12"/>
        <v>OK</v>
      </c>
    </row>
    <row r="58" spans="1:23" x14ac:dyDescent="0.25">
      <c r="A58" t="s">
        <v>94</v>
      </c>
      <c r="B58" t="s">
        <v>28</v>
      </c>
      <c r="C58" t="s">
        <v>29</v>
      </c>
      <c r="D58" t="s">
        <v>16</v>
      </c>
      <c r="E58" t="s">
        <v>42</v>
      </c>
      <c r="F58" s="2">
        <v>45731</v>
      </c>
      <c r="G58" t="str">
        <f t="shared" si="5"/>
        <v>March</v>
      </c>
      <c r="H58" t="s">
        <v>11</v>
      </c>
      <c r="I58">
        <v>8</v>
      </c>
      <c r="J58">
        <v>0</v>
      </c>
      <c r="K58">
        <v>13</v>
      </c>
      <c r="L58">
        <v>10</v>
      </c>
      <c r="M58">
        <v>10</v>
      </c>
      <c r="N58" s="4">
        <f t="shared" si="6"/>
        <v>1.3</v>
      </c>
      <c r="O58">
        <v>45269</v>
      </c>
      <c r="P58" t="str">
        <f t="shared" si="7"/>
        <v>Yes</v>
      </c>
      <c r="Q58">
        <v>10</v>
      </c>
      <c r="R58" t="s">
        <v>12</v>
      </c>
      <c r="S58" t="str">
        <f t="shared" si="8"/>
        <v>Kiran</v>
      </c>
      <c r="T58" t="str">
        <f t="shared" si="9"/>
        <v>HR</v>
      </c>
      <c r="U58" t="str">
        <f t="shared" si="10"/>
        <v>Wfh</v>
      </c>
      <c r="V58" s="4">
        <f t="shared" si="11"/>
        <v>1.3</v>
      </c>
      <c r="W58" t="str">
        <f t="shared" si="12"/>
        <v>OK</v>
      </c>
    </row>
    <row r="59" spans="1:23" x14ac:dyDescent="0.25">
      <c r="A59" t="s">
        <v>95</v>
      </c>
      <c r="B59" t="s">
        <v>39</v>
      </c>
      <c r="C59" t="s">
        <v>20</v>
      </c>
      <c r="D59" t="s">
        <v>37</v>
      </c>
      <c r="E59" t="s">
        <v>42</v>
      </c>
      <c r="F59" s="2">
        <v>45732</v>
      </c>
      <c r="G59" t="str">
        <f t="shared" si="5"/>
        <v>March</v>
      </c>
      <c r="H59" t="s">
        <v>40</v>
      </c>
      <c r="I59">
        <v>0</v>
      </c>
      <c r="J59">
        <v>0</v>
      </c>
      <c r="K59">
        <v>0</v>
      </c>
      <c r="L59">
        <v>7</v>
      </c>
      <c r="M59">
        <v>17</v>
      </c>
      <c r="N59" s="4">
        <f t="shared" si="6"/>
        <v>0</v>
      </c>
      <c r="O59">
        <v>34038</v>
      </c>
      <c r="P59" t="str">
        <f t="shared" si="7"/>
        <v>No</v>
      </c>
      <c r="Q59">
        <v>7</v>
      </c>
      <c r="R59" t="s">
        <v>17</v>
      </c>
      <c r="S59" t="str">
        <f t="shared" si="8"/>
        <v>Ravi</v>
      </c>
      <c r="T59" t="str">
        <f t="shared" si="9"/>
        <v>SALES</v>
      </c>
      <c r="U59" t="str">
        <f t="shared" si="10"/>
        <v>Leave</v>
      </c>
      <c r="V59" s="4">
        <f t="shared" si="11"/>
        <v>0</v>
      </c>
      <c r="W59" t="str">
        <f t="shared" si="12"/>
        <v>OK</v>
      </c>
    </row>
    <row r="60" spans="1:23" x14ac:dyDescent="0.25">
      <c r="A60" t="s">
        <v>96</v>
      </c>
      <c r="B60" t="s">
        <v>28</v>
      </c>
      <c r="C60" t="s">
        <v>8</v>
      </c>
      <c r="D60" t="s">
        <v>37</v>
      </c>
      <c r="E60" t="s">
        <v>34</v>
      </c>
      <c r="F60" s="2">
        <v>45733</v>
      </c>
      <c r="G60" t="str">
        <f t="shared" si="5"/>
        <v>March</v>
      </c>
      <c r="H60" t="s">
        <v>11</v>
      </c>
      <c r="I60">
        <v>8</v>
      </c>
      <c r="J60">
        <v>0</v>
      </c>
      <c r="K60">
        <v>8</v>
      </c>
      <c r="L60">
        <v>10</v>
      </c>
      <c r="M60">
        <v>17</v>
      </c>
      <c r="N60" s="4">
        <f t="shared" si="6"/>
        <v>0.47058823529411764</v>
      </c>
      <c r="O60">
        <v>25550</v>
      </c>
      <c r="P60" t="str">
        <f t="shared" si="7"/>
        <v>No</v>
      </c>
      <c r="Q60">
        <v>10</v>
      </c>
      <c r="R60" t="s">
        <v>12</v>
      </c>
      <c r="S60" t="str">
        <f t="shared" si="8"/>
        <v>Kiran</v>
      </c>
      <c r="T60" t="str">
        <f t="shared" si="9"/>
        <v>IT</v>
      </c>
      <c r="U60" t="str">
        <f t="shared" si="10"/>
        <v>Wfh</v>
      </c>
      <c r="V60" s="4">
        <f t="shared" si="11"/>
        <v>0.47058823529411764</v>
      </c>
      <c r="W60" t="str">
        <f t="shared" si="12"/>
        <v>OK</v>
      </c>
    </row>
    <row r="61" spans="1:23" x14ac:dyDescent="0.25">
      <c r="A61" t="s">
        <v>97</v>
      </c>
      <c r="B61" t="s">
        <v>19</v>
      </c>
      <c r="C61" t="s">
        <v>29</v>
      </c>
      <c r="D61" t="s">
        <v>9</v>
      </c>
      <c r="E61" t="s">
        <v>34</v>
      </c>
      <c r="F61" s="2">
        <v>45734</v>
      </c>
      <c r="G61" t="str">
        <f t="shared" si="5"/>
        <v>March</v>
      </c>
      <c r="H61" t="s">
        <v>30</v>
      </c>
      <c r="I61">
        <v>0</v>
      </c>
      <c r="J61">
        <v>0</v>
      </c>
      <c r="K61">
        <v>0</v>
      </c>
      <c r="L61">
        <v>10</v>
      </c>
      <c r="M61">
        <v>17</v>
      </c>
      <c r="N61" s="4">
        <f t="shared" si="6"/>
        <v>0</v>
      </c>
      <c r="O61">
        <v>46498</v>
      </c>
      <c r="P61" t="str">
        <f t="shared" si="7"/>
        <v>No</v>
      </c>
      <c r="Q61">
        <v>10</v>
      </c>
      <c r="R61" t="s">
        <v>12</v>
      </c>
      <c r="S61" t="str">
        <f t="shared" si="8"/>
        <v>Priya</v>
      </c>
      <c r="T61" t="str">
        <f t="shared" si="9"/>
        <v>HR</v>
      </c>
      <c r="U61" t="str">
        <f t="shared" si="10"/>
        <v>Absent</v>
      </c>
      <c r="V61" s="4">
        <f t="shared" si="11"/>
        <v>0</v>
      </c>
      <c r="W61" t="str">
        <f t="shared" si="12"/>
        <v>OK</v>
      </c>
    </row>
    <row r="62" spans="1:23" x14ac:dyDescent="0.25">
      <c r="A62" t="s">
        <v>98</v>
      </c>
      <c r="B62" t="s">
        <v>32</v>
      </c>
      <c r="C62" t="s">
        <v>29</v>
      </c>
      <c r="D62" t="s">
        <v>33</v>
      </c>
      <c r="E62" t="s">
        <v>21</v>
      </c>
      <c r="F62" s="2">
        <v>45735</v>
      </c>
      <c r="G62" t="str">
        <f t="shared" si="5"/>
        <v>March</v>
      </c>
      <c r="H62" t="s">
        <v>40</v>
      </c>
      <c r="I62">
        <v>0</v>
      </c>
      <c r="J62">
        <v>0</v>
      </c>
      <c r="K62">
        <v>0</v>
      </c>
      <c r="L62">
        <v>9</v>
      </c>
      <c r="M62">
        <v>16</v>
      </c>
      <c r="N62" s="4">
        <f t="shared" si="6"/>
        <v>0</v>
      </c>
      <c r="O62">
        <v>39500</v>
      </c>
      <c r="P62" t="str">
        <f t="shared" si="7"/>
        <v>No</v>
      </c>
      <c r="Q62">
        <v>9</v>
      </c>
      <c r="R62" t="s">
        <v>12</v>
      </c>
      <c r="S62" t="str">
        <f t="shared" si="8"/>
        <v>Sneha</v>
      </c>
      <c r="T62" t="str">
        <f t="shared" si="9"/>
        <v>HR</v>
      </c>
      <c r="U62" t="str">
        <f t="shared" si="10"/>
        <v>Leave</v>
      </c>
      <c r="V62" s="4">
        <f t="shared" si="11"/>
        <v>0</v>
      </c>
      <c r="W62" t="str">
        <f t="shared" si="12"/>
        <v>OK</v>
      </c>
    </row>
    <row r="63" spans="1:23" x14ac:dyDescent="0.25">
      <c r="A63" t="s">
        <v>99</v>
      </c>
      <c r="B63" t="s">
        <v>28</v>
      </c>
      <c r="C63" t="s">
        <v>8</v>
      </c>
      <c r="D63" t="s">
        <v>49</v>
      </c>
      <c r="E63" t="s">
        <v>34</v>
      </c>
      <c r="F63" s="2">
        <v>45736</v>
      </c>
      <c r="G63" t="str">
        <f t="shared" si="5"/>
        <v>March</v>
      </c>
      <c r="H63" t="s">
        <v>22</v>
      </c>
      <c r="I63">
        <v>8</v>
      </c>
      <c r="J63">
        <v>0</v>
      </c>
      <c r="K63">
        <v>16</v>
      </c>
      <c r="L63">
        <v>7</v>
      </c>
      <c r="M63">
        <v>13</v>
      </c>
      <c r="N63" s="4">
        <f t="shared" si="6"/>
        <v>1.2307692307692308</v>
      </c>
      <c r="O63">
        <v>37246</v>
      </c>
      <c r="P63" t="str">
        <f t="shared" si="7"/>
        <v>Yes</v>
      </c>
      <c r="Q63">
        <v>7</v>
      </c>
      <c r="R63" t="s">
        <v>17</v>
      </c>
      <c r="S63" t="str">
        <f t="shared" si="8"/>
        <v>Kiran</v>
      </c>
      <c r="T63" t="str">
        <f t="shared" si="9"/>
        <v>IT</v>
      </c>
      <c r="U63" t="str">
        <f t="shared" si="10"/>
        <v>Present</v>
      </c>
      <c r="V63" s="4">
        <f t="shared" si="11"/>
        <v>1.2307692307692308</v>
      </c>
      <c r="W63" t="str">
        <f t="shared" si="12"/>
        <v>OK</v>
      </c>
    </row>
    <row r="64" spans="1:23" x14ac:dyDescent="0.25">
      <c r="A64" t="s">
        <v>100</v>
      </c>
      <c r="B64" t="s">
        <v>44</v>
      </c>
      <c r="C64" t="s">
        <v>29</v>
      </c>
      <c r="D64" t="s">
        <v>45</v>
      </c>
      <c r="E64" t="s">
        <v>10</v>
      </c>
      <c r="F64" s="2">
        <v>45737</v>
      </c>
      <c r="G64" t="str">
        <f t="shared" si="5"/>
        <v>March</v>
      </c>
      <c r="H64" t="s">
        <v>22</v>
      </c>
      <c r="I64">
        <v>8</v>
      </c>
      <c r="J64">
        <v>2</v>
      </c>
      <c r="K64">
        <v>18</v>
      </c>
      <c r="L64">
        <v>9</v>
      </c>
      <c r="M64">
        <v>11</v>
      </c>
      <c r="N64" s="4">
        <f t="shared" si="6"/>
        <v>1.6363636363636365</v>
      </c>
      <c r="O64">
        <v>31724</v>
      </c>
      <c r="P64" t="str">
        <f t="shared" si="7"/>
        <v>Yes</v>
      </c>
      <c r="Q64">
        <v>9</v>
      </c>
      <c r="R64" t="s">
        <v>12</v>
      </c>
      <c r="S64" t="str">
        <f t="shared" si="8"/>
        <v>Rohit</v>
      </c>
      <c r="T64" t="str">
        <f t="shared" si="9"/>
        <v>HR</v>
      </c>
      <c r="U64" t="str">
        <f t="shared" si="10"/>
        <v>Present</v>
      </c>
      <c r="V64" s="4">
        <f t="shared" si="11"/>
        <v>1.6363636363636365</v>
      </c>
      <c r="W64" t="str">
        <f t="shared" si="12"/>
        <v>OK</v>
      </c>
    </row>
    <row r="65" spans="1:23" x14ac:dyDescent="0.25">
      <c r="A65" t="s">
        <v>101</v>
      </c>
      <c r="B65" t="s">
        <v>36</v>
      </c>
      <c r="C65" t="s">
        <v>15</v>
      </c>
      <c r="D65" t="s">
        <v>33</v>
      </c>
      <c r="E65" t="s">
        <v>10</v>
      </c>
      <c r="F65" s="2">
        <v>45738</v>
      </c>
      <c r="G65" t="str">
        <f t="shared" si="5"/>
        <v>March</v>
      </c>
      <c r="H65" t="s">
        <v>30</v>
      </c>
      <c r="I65">
        <v>0</v>
      </c>
      <c r="J65">
        <v>0</v>
      </c>
      <c r="K65">
        <v>0</v>
      </c>
      <c r="L65">
        <v>7</v>
      </c>
      <c r="M65">
        <v>13</v>
      </c>
      <c r="N65" s="4">
        <f t="shared" si="6"/>
        <v>0</v>
      </c>
      <c r="O65">
        <v>44485</v>
      </c>
      <c r="P65" t="str">
        <f t="shared" si="7"/>
        <v>No</v>
      </c>
      <c r="Q65">
        <v>7</v>
      </c>
      <c r="R65" t="s">
        <v>17</v>
      </c>
      <c r="S65" t="str">
        <f t="shared" si="8"/>
        <v>Varun</v>
      </c>
      <c r="T65" t="str">
        <f t="shared" si="9"/>
        <v>FINANCE</v>
      </c>
      <c r="U65" t="str">
        <f t="shared" si="10"/>
        <v>Absent</v>
      </c>
      <c r="V65" s="4">
        <f t="shared" si="11"/>
        <v>0</v>
      </c>
      <c r="W65" t="str">
        <f t="shared" si="12"/>
        <v>OK</v>
      </c>
    </row>
    <row r="66" spans="1:23" x14ac:dyDescent="0.25">
      <c r="A66" t="s">
        <v>102</v>
      </c>
      <c r="B66" t="s">
        <v>36</v>
      </c>
      <c r="C66" t="s">
        <v>8</v>
      </c>
      <c r="D66" t="s">
        <v>9</v>
      </c>
      <c r="E66" t="s">
        <v>34</v>
      </c>
      <c r="F66" s="2">
        <v>45739</v>
      </c>
      <c r="G66" t="str">
        <f t="shared" si="5"/>
        <v>March</v>
      </c>
      <c r="H66" t="s">
        <v>30</v>
      </c>
      <c r="I66">
        <v>0</v>
      </c>
      <c r="J66">
        <v>0</v>
      </c>
      <c r="K66">
        <v>0</v>
      </c>
      <c r="L66">
        <v>8</v>
      </c>
      <c r="M66">
        <v>20</v>
      </c>
      <c r="N66" s="4">
        <f t="shared" si="6"/>
        <v>0</v>
      </c>
      <c r="O66">
        <v>25102</v>
      </c>
      <c r="P66" t="str">
        <f t="shared" si="7"/>
        <v>No</v>
      </c>
      <c r="Q66">
        <v>8</v>
      </c>
      <c r="R66" t="s">
        <v>12</v>
      </c>
      <c r="S66" t="str">
        <f t="shared" ref="S66:S101" si="13">PROPER(B66)</f>
        <v>Varun</v>
      </c>
      <c r="T66" t="str">
        <f t="shared" ref="T66:T101" si="14">UPPER(C66)</f>
        <v>IT</v>
      </c>
      <c r="U66" t="str">
        <f t="shared" ref="U66:U101" si="15">PROPER(H66)</f>
        <v>Absent</v>
      </c>
      <c r="V66" s="4">
        <f t="shared" ref="V66:V101" si="16">IFERROR(N66,0)</f>
        <v>0</v>
      </c>
      <c r="W66" t="str">
        <f t="shared" ref="W66:W101" si="17">IF(OR(A66="",B66="",C66=""),"Incomplete","OK")</f>
        <v>OK</v>
      </c>
    </row>
    <row r="67" spans="1:23" x14ac:dyDescent="0.25">
      <c r="A67" t="s">
        <v>103</v>
      </c>
      <c r="B67" t="s">
        <v>28</v>
      </c>
      <c r="C67" t="s">
        <v>8</v>
      </c>
      <c r="D67" t="s">
        <v>45</v>
      </c>
      <c r="E67" t="s">
        <v>10</v>
      </c>
      <c r="F67" s="2">
        <v>45740</v>
      </c>
      <c r="G67" t="str">
        <f t="shared" ref="G67:G101" si="18">TEXT(F67,"mmmm")</f>
        <v>March</v>
      </c>
      <c r="H67" t="s">
        <v>22</v>
      </c>
      <c r="I67">
        <v>8</v>
      </c>
      <c r="J67">
        <v>1</v>
      </c>
      <c r="K67">
        <v>7</v>
      </c>
      <c r="L67">
        <v>6</v>
      </c>
      <c r="M67">
        <v>10</v>
      </c>
      <c r="N67" s="4">
        <f t="shared" ref="N67:N101" si="19">K67/M67</f>
        <v>0.7</v>
      </c>
      <c r="O67">
        <v>36345</v>
      </c>
      <c r="P67" t="str">
        <f t="shared" ref="P67:P101" si="20">IF(N67&gt;=90%,"Yes","No")</f>
        <v>No</v>
      </c>
      <c r="Q67">
        <v>6</v>
      </c>
      <c r="R67" t="s">
        <v>26</v>
      </c>
      <c r="S67" t="str">
        <f t="shared" si="13"/>
        <v>Kiran</v>
      </c>
      <c r="T67" t="str">
        <f t="shared" si="14"/>
        <v>IT</v>
      </c>
      <c r="U67" t="str">
        <f t="shared" si="15"/>
        <v>Present</v>
      </c>
      <c r="V67" s="4">
        <f t="shared" si="16"/>
        <v>0.7</v>
      </c>
      <c r="W67" t="str">
        <f t="shared" si="17"/>
        <v>OK</v>
      </c>
    </row>
    <row r="68" spans="1:23" x14ac:dyDescent="0.25">
      <c r="A68" t="s">
        <v>104</v>
      </c>
      <c r="B68" t="s">
        <v>19</v>
      </c>
      <c r="C68" t="s">
        <v>8</v>
      </c>
      <c r="D68" t="s">
        <v>33</v>
      </c>
      <c r="E68" t="s">
        <v>21</v>
      </c>
      <c r="F68" s="2">
        <v>45741</v>
      </c>
      <c r="G68" t="str">
        <f t="shared" si="18"/>
        <v>March</v>
      </c>
      <c r="H68" t="s">
        <v>22</v>
      </c>
      <c r="I68">
        <v>8</v>
      </c>
      <c r="J68">
        <v>1</v>
      </c>
      <c r="K68">
        <v>15</v>
      </c>
      <c r="L68">
        <v>8</v>
      </c>
      <c r="M68">
        <v>20</v>
      </c>
      <c r="N68" s="4">
        <f t="shared" si="19"/>
        <v>0.75</v>
      </c>
      <c r="O68">
        <v>34455</v>
      </c>
      <c r="P68" t="str">
        <f t="shared" si="20"/>
        <v>No</v>
      </c>
      <c r="Q68">
        <v>8</v>
      </c>
      <c r="R68" t="s">
        <v>12</v>
      </c>
      <c r="S68" t="str">
        <f t="shared" si="13"/>
        <v>Priya</v>
      </c>
      <c r="T68" t="str">
        <f t="shared" si="14"/>
        <v>IT</v>
      </c>
      <c r="U68" t="str">
        <f t="shared" si="15"/>
        <v>Present</v>
      </c>
      <c r="V68" s="4">
        <f t="shared" si="16"/>
        <v>0.75</v>
      </c>
      <c r="W68" t="str">
        <f t="shared" si="17"/>
        <v>OK</v>
      </c>
    </row>
    <row r="69" spans="1:23" x14ac:dyDescent="0.25">
      <c r="A69" t="s">
        <v>105</v>
      </c>
      <c r="B69" t="s">
        <v>7</v>
      </c>
      <c r="C69" t="s">
        <v>20</v>
      </c>
      <c r="D69" t="s">
        <v>9</v>
      </c>
      <c r="E69" t="s">
        <v>10</v>
      </c>
      <c r="F69" s="2">
        <v>45742</v>
      </c>
      <c r="G69" t="str">
        <f t="shared" si="18"/>
        <v>March</v>
      </c>
      <c r="H69" t="s">
        <v>11</v>
      </c>
      <c r="I69">
        <v>8</v>
      </c>
      <c r="J69">
        <v>0</v>
      </c>
      <c r="K69">
        <v>14</v>
      </c>
      <c r="L69">
        <v>7</v>
      </c>
      <c r="M69">
        <v>18</v>
      </c>
      <c r="N69" s="4">
        <f t="shared" si="19"/>
        <v>0.77777777777777779</v>
      </c>
      <c r="O69">
        <v>39959</v>
      </c>
      <c r="P69" t="str">
        <f t="shared" si="20"/>
        <v>No</v>
      </c>
      <c r="Q69">
        <v>7</v>
      </c>
      <c r="R69" t="s">
        <v>17</v>
      </c>
      <c r="S69" t="str">
        <f t="shared" si="13"/>
        <v>Meena</v>
      </c>
      <c r="T69" t="str">
        <f t="shared" si="14"/>
        <v>SALES</v>
      </c>
      <c r="U69" t="str">
        <f t="shared" si="15"/>
        <v>Wfh</v>
      </c>
      <c r="V69" s="4">
        <f t="shared" si="16"/>
        <v>0.77777777777777779</v>
      </c>
      <c r="W69" t="str">
        <f t="shared" si="17"/>
        <v>OK</v>
      </c>
    </row>
    <row r="70" spans="1:23" x14ac:dyDescent="0.25">
      <c r="A70" t="s">
        <v>106</v>
      </c>
      <c r="B70" t="s">
        <v>36</v>
      </c>
      <c r="C70" t="s">
        <v>15</v>
      </c>
      <c r="D70" t="s">
        <v>45</v>
      </c>
      <c r="E70" t="s">
        <v>10</v>
      </c>
      <c r="F70" s="2">
        <v>45743</v>
      </c>
      <c r="G70" t="str">
        <f t="shared" si="18"/>
        <v>March</v>
      </c>
      <c r="H70" t="s">
        <v>11</v>
      </c>
      <c r="I70">
        <v>8</v>
      </c>
      <c r="J70">
        <v>0</v>
      </c>
      <c r="K70">
        <v>8</v>
      </c>
      <c r="L70">
        <v>8</v>
      </c>
      <c r="M70">
        <v>13</v>
      </c>
      <c r="N70" s="4">
        <f t="shared" si="19"/>
        <v>0.61538461538461542</v>
      </c>
      <c r="O70">
        <v>39372</v>
      </c>
      <c r="P70" t="str">
        <f t="shared" si="20"/>
        <v>No</v>
      </c>
      <c r="Q70">
        <v>8</v>
      </c>
      <c r="R70" t="s">
        <v>12</v>
      </c>
      <c r="S70" t="str">
        <f t="shared" si="13"/>
        <v>Varun</v>
      </c>
      <c r="T70" t="str">
        <f t="shared" si="14"/>
        <v>FINANCE</v>
      </c>
      <c r="U70" t="str">
        <f t="shared" si="15"/>
        <v>Wfh</v>
      </c>
      <c r="V70" s="4">
        <f t="shared" si="16"/>
        <v>0.61538461538461542</v>
      </c>
      <c r="W70" t="str">
        <f t="shared" si="17"/>
        <v>OK</v>
      </c>
    </row>
    <row r="71" spans="1:23" x14ac:dyDescent="0.25">
      <c r="A71" t="s">
        <v>107</v>
      </c>
      <c r="B71" t="s">
        <v>14</v>
      </c>
      <c r="C71" t="s">
        <v>20</v>
      </c>
      <c r="D71" t="s">
        <v>9</v>
      </c>
      <c r="E71" t="s">
        <v>34</v>
      </c>
      <c r="F71" s="2">
        <v>45744</v>
      </c>
      <c r="G71" t="str">
        <f t="shared" si="18"/>
        <v>March</v>
      </c>
      <c r="H71" t="s">
        <v>22</v>
      </c>
      <c r="I71">
        <v>8</v>
      </c>
      <c r="J71">
        <v>0</v>
      </c>
      <c r="K71">
        <v>18</v>
      </c>
      <c r="L71">
        <v>4</v>
      </c>
      <c r="M71">
        <v>18</v>
      </c>
      <c r="N71" s="4">
        <f t="shared" si="19"/>
        <v>1</v>
      </c>
      <c r="O71">
        <v>42577</v>
      </c>
      <c r="P71" t="str">
        <f t="shared" si="20"/>
        <v>Yes</v>
      </c>
      <c r="Q71">
        <v>4</v>
      </c>
      <c r="R71" t="s">
        <v>26</v>
      </c>
      <c r="S71" t="str">
        <f t="shared" si="13"/>
        <v>Pooja</v>
      </c>
      <c r="T71" t="str">
        <f t="shared" si="14"/>
        <v>SALES</v>
      </c>
      <c r="U71" t="str">
        <f t="shared" si="15"/>
        <v>Present</v>
      </c>
      <c r="V71" s="4">
        <f t="shared" si="16"/>
        <v>1</v>
      </c>
      <c r="W71" t="str">
        <f t="shared" si="17"/>
        <v>OK</v>
      </c>
    </row>
    <row r="72" spans="1:23" x14ac:dyDescent="0.25">
      <c r="A72" t="s">
        <v>108</v>
      </c>
      <c r="B72" t="s">
        <v>7</v>
      </c>
      <c r="C72" t="s">
        <v>29</v>
      </c>
      <c r="D72" t="s">
        <v>16</v>
      </c>
      <c r="E72" t="s">
        <v>42</v>
      </c>
      <c r="F72" s="2">
        <v>45745</v>
      </c>
      <c r="G72" t="str">
        <f t="shared" si="18"/>
        <v>March</v>
      </c>
      <c r="H72" t="s">
        <v>40</v>
      </c>
      <c r="I72">
        <v>0</v>
      </c>
      <c r="J72">
        <v>0</v>
      </c>
      <c r="K72">
        <v>0</v>
      </c>
      <c r="L72">
        <v>7</v>
      </c>
      <c r="M72">
        <v>12</v>
      </c>
      <c r="N72" s="4">
        <f t="shared" si="19"/>
        <v>0</v>
      </c>
      <c r="O72">
        <v>40587</v>
      </c>
      <c r="P72" t="str">
        <f t="shared" si="20"/>
        <v>No</v>
      </c>
      <c r="Q72">
        <v>7</v>
      </c>
      <c r="R72" t="s">
        <v>26</v>
      </c>
      <c r="S72" t="str">
        <f t="shared" si="13"/>
        <v>Meena</v>
      </c>
      <c r="T72" t="str">
        <f t="shared" si="14"/>
        <v>HR</v>
      </c>
      <c r="U72" t="str">
        <f t="shared" si="15"/>
        <v>Leave</v>
      </c>
      <c r="V72" s="4">
        <f t="shared" si="16"/>
        <v>0</v>
      </c>
      <c r="W72" t="str">
        <f t="shared" si="17"/>
        <v>OK</v>
      </c>
    </row>
    <row r="73" spans="1:23" x14ac:dyDescent="0.25">
      <c r="A73" t="s">
        <v>109</v>
      </c>
      <c r="B73" t="s">
        <v>14</v>
      </c>
      <c r="C73" t="s">
        <v>15</v>
      </c>
      <c r="D73" t="s">
        <v>9</v>
      </c>
      <c r="E73" t="s">
        <v>21</v>
      </c>
      <c r="F73" s="2">
        <v>45746</v>
      </c>
      <c r="G73" t="str">
        <f t="shared" si="18"/>
        <v>March</v>
      </c>
      <c r="H73" t="s">
        <v>22</v>
      </c>
      <c r="I73">
        <v>8</v>
      </c>
      <c r="J73">
        <v>1</v>
      </c>
      <c r="K73">
        <v>5</v>
      </c>
      <c r="L73">
        <v>8</v>
      </c>
      <c r="M73">
        <v>20</v>
      </c>
      <c r="N73" s="4">
        <f t="shared" si="19"/>
        <v>0.25</v>
      </c>
      <c r="O73">
        <v>43827</v>
      </c>
      <c r="P73" t="str">
        <f t="shared" si="20"/>
        <v>No</v>
      </c>
      <c r="Q73">
        <v>8</v>
      </c>
      <c r="R73" t="s">
        <v>12</v>
      </c>
      <c r="S73" t="str">
        <f t="shared" si="13"/>
        <v>Pooja</v>
      </c>
      <c r="T73" t="str">
        <f t="shared" si="14"/>
        <v>FINANCE</v>
      </c>
      <c r="U73" t="str">
        <f t="shared" si="15"/>
        <v>Present</v>
      </c>
      <c r="V73" s="4">
        <f t="shared" si="16"/>
        <v>0.25</v>
      </c>
      <c r="W73" t="str">
        <f t="shared" si="17"/>
        <v>OK</v>
      </c>
    </row>
    <row r="74" spans="1:23" x14ac:dyDescent="0.25">
      <c r="A74" t="s">
        <v>110</v>
      </c>
      <c r="B74" t="s">
        <v>36</v>
      </c>
      <c r="C74" t="s">
        <v>20</v>
      </c>
      <c r="D74" t="s">
        <v>49</v>
      </c>
      <c r="E74" t="s">
        <v>42</v>
      </c>
      <c r="F74" s="2">
        <v>45747</v>
      </c>
      <c r="G74" t="str">
        <f t="shared" si="18"/>
        <v>March</v>
      </c>
      <c r="H74" t="s">
        <v>30</v>
      </c>
      <c r="I74">
        <v>0</v>
      </c>
      <c r="J74">
        <v>0</v>
      </c>
      <c r="K74">
        <v>0</v>
      </c>
      <c r="L74">
        <v>5</v>
      </c>
      <c r="M74">
        <v>13</v>
      </c>
      <c r="N74" s="4">
        <f t="shared" si="19"/>
        <v>0</v>
      </c>
      <c r="O74">
        <v>45371</v>
      </c>
      <c r="P74" t="str">
        <f t="shared" si="20"/>
        <v>No</v>
      </c>
      <c r="Q74">
        <v>5</v>
      </c>
      <c r="R74" t="s">
        <v>17</v>
      </c>
      <c r="S74" t="str">
        <f t="shared" si="13"/>
        <v>Varun</v>
      </c>
      <c r="T74" t="str">
        <f t="shared" si="14"/>
        <v>SALES</v>
      </c>
      <c r="U74" t="str">
        <f t="shared" si="15"/>
        <v>Absent</v>
      </c>
      <c r="V74" s="4">
        <f t="shared" si="16"/>
        <v>0</v>
      </c>
      <c r="W74" t="str">
        <f t="shared" si="17"/>
        <v>OK</v>
      </c>
    </row>
    <row r="75" spans="1:23" x14ac:dyDescent="0.25">
      <c r="A75" t="s">
        <v>111</v>
      </c>
      <c r="B75" t="s">
        <v>36</v>
      </c>
      <c r="C75" t="s">
        <v>29</v>
      </c>
      <c r="D75" t="s">
        <v>16</v>
      </c>
      <c r="E75" t="s">
        <v>34</v>
      </c>
      <c r="F75" s="2">
        <v>45748</v>
      </c>
      <c r="G75" t="str">
        <f t="shared" si="18"/>
        <v>April</v>
      </c>
      <c r="H75" t="s">
        <v>22</v>
      </c>
      <c r="I75">
        <v>8</v>
      </c>
      <c r="J75">
        <v>1</v>
      </c>
      <c r="K75">
        <v>8</v>
      </c>
      <c r="L75">
        <v>7</v>
      </c>
      <c r="M75">
        <v>12</v>
      </c>
      <c r="N75" s="4">
        <f t="shared" si="19"/>
        <v>0.66666666666666663</v>
      </c>
      <c r="O75">
        <v>45440</v>
      </c>
      <c r="P75" t="str">
        <f t="shared" si="20"/>
        <v>No</v>
      </c>
      <c r="Q75">
        <v>7</v>
      </c>
      <c r="R75" t="s">
        <v>17</v>
      </c>
      <c r="S75" t="str">
        <f t="shared" si="13"/>
        <v>Varun</v>
      </c>
      <c r="T75" t="str">
        <f t="shared" si="14"/>
        <v>HR</v>
      </c>
      <c r="U75" t="str">
        <f t="shared" si="15"/>
        <v>Present</v>
      </c>
      <c r="V75" s="4">
        <f t="shared" si="16"/>
        <v>0.66666666666666663</v>
      </c>
      <c r="W75" t="str">
        <f t="shared" si="17"/>
        <v>OK</v>
      </c>
    </row>
    <row r="76" spans="1:23" x14ac:dyDescent="0.25">
      <c r="A76" t="s">
        <v>112</v>
      </c>
      <c r="B76" t="s">
        <v>28</v>
      </c>
      <c r="C76" t="s">
        <v>8</v>
      </c>
      <c r="D76" t="s">
        <v>9</v>
      </c>
      <c r="E76" t="s">
        <v>10</v>
      </c>
      <c r="F76" s="2">
        <v>45749</v>
      </c>
      <c r="G76" t="str">
        <f t="shared" si="18"/>
        <v>April</v>
      </c>
      <c r="H76" t="s">
        <v>11</v>
      </c>
      <c r="I76">
        <v>8</v>
      </c>
      <c r="J76">
        <v>0</v>
      </c>
      <c r="K76">
        <v>20</v>
      </c>
      <c r="L76">
        <v>8</v>
      </c>
      <c r="M76">
        <v>13</v>
      </c>
      <c r="N76" s="4">
        <f t="shared" si="19"/>
        <v>1.5384615384615385</v>
      </c>
      <c r="O76">
        <v>41070</v>
      </c>
      <c r="P76" t="str">
        <f t="shared" si="20"/>
        <v>Yes</v>
      </c>
      <c r="Q76">
        <v>8</v>
      </c>
      <c r="R76" t="s">
        <v>12</v>
      </c>
      <c r="S76" t="str">
        <f t="shared" si="13"/>
        <v>Kiran</v>
      </c>
      <c r="T76" t="str">
        <f t="shared" si="14"/>
        <v>IT</v>
      </c>
      <c r="U76" t="str">
        <f t="shared" si="15"/>
        <v>Wfh</v>
      </c>
      <c r="V76" s="4">
        <f t="shared" si="16"/>
        <v>1.5384615384615385</v>
      </c>
      <c r="W76" t="str">
        <f t="shared" si="17"/>
        <v>OK</v>
      </c>
    </row>
    <row r="77" spans="1:23" x14ac:dyDescent="0.25">
      <c r="A77" t="s">
        <v>113</v>
      </c>
      <c r="B77" t="s">
        <v>19</v>
      </c>
      <c r="C77" t="s">
        <v>8</v>
      </c>
      <c r="D77" t="s">
        <v>16</v>
      </c>
      <c r="E77" t="s">
        <v>42</v>
      </c>
      <c r="F77" s="2">
        <v>45750</v>
      </c>
      <c r="G77" t="str">
        <f t="shared" si="18"/>
        <v>April</v>
      </c>
      <c r="H77" t="s">
        <v>40</v>
      </c>
      <c r="I77">
        <v>0</v>
      </c>
      <c r="J77">
        <v>0</v>
      </c>
      <c r="K77">
        <v>0</v>
      </c>
      <c r="L77">
        <v>6</v>
      </c>
      <c r="M77">
        <v>10</v>
      </c>
      <c r="N77" s="4">
        <f t="shared" si="19"/>
        <v>0</v>
      </c>
      <c r="O77">
        <v>31529</v>
      </c>
      <c r="P77" t="str">
        <f t="shared" si="20"/>
        <v>No</v>
      </c>
      <c r="Q77">
        <v>6</v>
      </c>
      <c r="R77" t="s">
        <v>17</v>
      </c>
      <c r="S77" t="str">
        <f t="shared" si="13"/>
        <v>Priya</v>
      </c>
      <c r="T77" t="str">
        <f t="shared" si="14"/>
        <v>IT</v>
      </c>
      <c r="U77" t="str">
        <f t="shared" si="15"/>
        <v>Leave</v>
      </c>
      <c r="V77" s="4">
        <f t="shared" si="16"/>
        <v>0</v>
      </c>
      <c r="W77" t="str">
        <f t="shared" si="17"/>
        <v>OK</v>
      </c>
    </row>
    <row r="78" spans="1:23" x14ac:dyDescent="0.25">
      <c r="A78" t="s">
        <v>114</v>
      </c>
      <c r="B78" t="s">
        <v>7</v>
      </c>
      <c r="C78" t="s">
        <v>29</v>
      </c>
      <c r="D78" t="s">
        <v>9</v>
      </c>
      <c r="E78" t="s">
        <v>42</v>
      </c>
      <c r="F78" s="2">
        <v>45751</v>
      </c>
      <c r="G78" t="str">
        <f t="shared" si="18"/>
        <v>April</v>
      </c>
      <c r="H78" t="s">
        <v>22</v>
      </c>
      <c r="I78">
        <v>8</v>
      </c>
      <c r="J78">
        <v>2</v>
      </c>
      <c r="K78">
        <v>18</v>
      </c>
      <c r="L78">
        <v>3</v>
      </c>
      <c r="M78">
        <v>10</v>
      </c>
      <c r="N78" s="4">
        <f t="shared" si="19"/>
        <v>1.8</v>
      </c>
      <c r="O78">
        <v>40503</v>
      </c>
      <c r="P78" t="str">
        <f t="shared" si="20"/>
        <v>Yes</v>
      </c>
      <c r="Q78">
        <v>3</v>
      </c>
      <c r="R78" t="s">
        <v>23</v>
      </c>
      <c r="S78" t="str">
        <f t="shared" si="13"/>
        <v>Meena</v>
      </c>
      <c r="T78" t="str">
        <f t="shared" si="14"/>
        <v>HR</v>
      </c>
      <c r="U78" t="str">
        <f t="shared" si="15"/>
        <v>Present</v>
      </c>
      <c r="V78" s="4">
        <f t="shared" si="16"/>
        <v>1.8</v>
      </c>
      <c r="W78" t="str">
        <f t="shared" si="17"/>
        <v>OK</v>
      </c>
    </row>
    <row r="79" spans="1:23" x14ac:dyDescent="0.25">
      <c r="A79" t="s">
        <v>115</v>
      </c>
      <c r="B79" t="s">
        <v>32</v>
      </c>
      <c r="C79" t="s">
        <v>29</v>
      </c>
      <c r="D79" t="s">
        <v>49</v>
      </c>
      <c r="E79" t="s">
        <v>34</v>
      </c>
      <c r="F79" s="2">
        <v>45752</v>
      </c>
      <c r="G79" t="str">
        <f t="shared" si="18"/>
        <v>April</v>
      </c>
      <c r="H79" t="s">
        <v>30</v>
      </c>
      <c r="I79">
        <v>0</v>
      </c>
      <c r="J79">
        <v>0</v>
      </c>
      <c r="K79">
        <v>0</v>
      </c>
      <c r="L79">
        <v>7</v>
      </c>
      <c r="M79">
        <v>16</v>
      </c>
      <c r="N79" s="4">
        <f t="shared" si="19"/>
        <v>0</v>
      </c>
      <c r="O79">
        <v>25688</v>
      </c>
      <c r="P79" t="str">
        <f t="shared" si="20"/>
        <v>No</v>
      </c>
      <c r="Q79">
        <v>7</v>
      </c>
      <c r="R79" t="s">
        <v>17</v>
      </c>
      <c r="S79" t="str">
        <f t="shared" si="13"/>
        <v>Sneha</v>
      </c>
      <c r="T79" t="str">
        <f t="shared" si="14"/>
        <v>HR</v>
      </c>
      <c r="U79" t="str">
        <f t="shared" si="15"/>
        <v>Absent</v>
      </c>
      <c r="V79" s="4">
        <f t="shared" si="16"/>
        <v>0</v>
      </c>
      <c r="W79" t="str">
        <f t="shared" si="17"/>
        <v>OK</v>
      </c>
    </row>
    <row r="80" spans="1:23" x14ac:dyDescent="0.25">
      <c r="A80" t="s">
        <v>116</v>
      </c>
      <c r="B80" t="s">
        <v>7</v>
      </c>
      <c r="C80" t="s">
        <v>29</v>
      </c>
      <c r="D80" t="s">
        <v>37</v>
      </c>
      <c r="E80" t="s">
        <v>34</v>
      </c>
      <c r="F80" s="2">
        <v>45753</v>
      </c>
      <c r="G80" t="str">
        <f t="shared" si="18"/>
        <v>April</v>
      </c>
      <c r="H80" t="s">
        <v>30</v>
      </c>
      <c r="I80">
        <v>0</v>
      </c>
      <c r="J80">
        <v>0</v>
      </c>
      <c r="K80">
        <v>0</v>
      </c>
      <c r="L80">
        <v>8</v>
      </c>
      <c r="M80">
        <v>16</v>
      </c>
      <c r="N80" s="4">
        <f t="shared" si="19"/>
        <v>0</v>
      </c>
      <c r="O80">
        <v>39505</v>
      </c>
      <c r="P80" t="str">
        <f t="shared" si="20"/>
        <v>No</v>
      </c>
      <c r="Q80">
        <v>8</v>
      </c>
      <c r="R80" t="s">
        <v>12</v>
      </c>
      <c r="S80" t="str">
        <f t="shared" si="13"/>
        <v>Meena</v>
      </c>
      <c r="T80" t="str">
        <f t="shared" si="14"/>
        <v>HR</v>
      </c>
      <c r="U80" t="str">
        <f t="shared" si="15"/>
        <v>Absent</v>
      </c>
      <c r="V80" s="4">
        <f t="shared" si="16"/>
        <v>0</v>
      </c>
      <c r="W80" t="str">
        <f t="shared" si="17"/>
        <v>OK</v>
      </c>
    </row>
    <row r="81" spans="1:23" x14ac:dyDescent="0.25">
      <c r="A81" t="s">
        <v>117</v>
      </c>
      <c r="B81" t="s">
        <v>66</v>
      </c>
      <c r="C81" t="s">
        <v>20</v>
      </c>
      <c r="D81" t="s">
        <v>45</v>
      </c>
      <c r="E81" t="s">
        <v>10</v>
      </c>
      <c r="F81" s="2">
        <v>45754</v>
      </c>
      <c r="G81" t="str">
        <f t="shared" si="18"/>
        <v>April</v>
      </c>
      <c r="H81" t="s">
        <v>11</v>
      </c>
      <c r="I81">
        <v>8</v>
      </c>
      <c r="J81">
        <v>0</v>
      </c>
      <c r="K81">
        <v>7</v>
      </c>
      <c r="L81">
        <v>3</v>
      </c>
      <c r="M81">
        <v>17</v>
      </c>
      <c r="N81" s="4">
        <f t="shared" si="19"/>
        <v>0.41176470588235292</v>
      </c>
      <c r="O81">
        <v>47678</v>
      </c>
      <c r="P81" t="str">
        <f t="shared" si="20"/>
        <v>No</v>
      </c>
      <c r="Q81">
        <v>3</v>
      </c>
      <c r="R81" t="s">
        <v>23</v>
      </c>
      <c r="S81" t="str">
        <f t="shared" si="13"/>
        <v>Asha</v>
      </c>
      <c r="T81" t="str">
        <f t="shared" si="14"/>
        <v>SALES</v>
      </c>
      <c r="U81" t="str">
        <f t="shared" si="15"/>
        <v>Wfh</v>
      </c>
      <c r="V81" s="4">
        <f t="shared" si="16"/>
        <v>0.41176470588235292</v>
      </c>
      <c r="W81" t="str">
        <f t="shared" si="17"/>
        <v>OK</v>
      </c>
    </row>
    <row r="82" spans="1:23" x14ac:dyDescent="0.25">
      <c r="A82" t="s">
        <v>118</v>
      </c>
      <c r="B82" t="s">
        <v>39</v>
      </c>
      <c r="C82" t="s">
        <v>15</v>
      </c>
      <c r="D82" t="s">
        <v>37</v>
      </c>
      <c r="E82" t="s">
        <v>34</v>
      </c>
      <c r="F82" s="2">
        <v>45755</v>
      </c>
      <c r="G82" t="str">
        <f t="shared" si="18"/>
        <v>April</v>
      </c>
      <c r="H82" t="s">
        <v>30</v>
      </c>
      <c r="I82">
        <v>0</v>
      </c>
      <c r="J82">
        <v>0</v>
      </c>
      <c r="K82">
        <v>0</v>
      </c>
      <c r="L82">
        <v>3</v>
      </c>
      <c r="M82">
        <v>10</v>
      </c>
      <c r="N82" s="4">
        <f t="shared" si="19"/>
        <v>0</v>
      </c>
      <c r="O82">
        <v>39491</v>
      </c>
      <c r="P82" t="str">
        <f t="shared" si="20"/>
        <v>No</v>
      </c>
      <c r="Q82">
        <v>3</v>
      </c>
      <c r="R82" t="s">
        <v>23</v>
      </c>
      <c r="S82" t="str">
        <f t="shared" si="13"/>
        <v>Ravi</v>
      </c>
      <c r="T82" t="str">
        <f t="shared" si="14"/>
        <v>FINANCE</v>
      </c>
      <c r="U82" t="str">
        <f t="shared" si="15"/>
        <v>Absent</v>
      </c>
      <c r="V82" s="4">
        <f t="shared" si="16"/>
        <v>0</v>
      </c>
      <c r="W82" t="str">
        <f t="shared" si="17"/>
        <v>OK</v>
      </c>
    </row>
    <row r="83" spans="1:23" x14ac:dyDescent="0.25">
      <c r="A83" t="s">
        <v>119</v>
      </c>
      <c r="B83" t="s">
        <v>39</v>
      </c>
      <c r="C83" t="s">
        <v>15</v>
      </c>
      <c r="D83" t="s">
        <v>45</v>
      </c>
      <c r="E83" t="s">
        <v>21</v>
      </c>
      <c r="F83" s="2">
        <v>45756</v>
      </c>
      <c r="G83" t="str">
        <f t="shared" si="18"/>
        <v>April</v>
      </c>
      <c r="H83" t="s">
        <v>22</v>
      </c>
      <c r="I83">
        <v>8</v>
      </c>
      <c r="J83">
        <v>1</v>
      </c>
      <c r="K83">
        <v>10</v>
      </c>
      <c r="L83">
        <v>5</v>
      </c>
      <c r="M83">
        <v>19</v>
      </c>
      <c r="N83" s="4">
        <f t="shared" si="19"/>
        <v>0.52631578947368418</v>
      </c>
      <c r="O83">
        <v>27300</v>
      </c>
      <c r="P83" t="str">
        <f t="shared" si="20"/>
        <v>No</v>
      </c>
      <c r="Q83">
        <v>5</v>
      </c>
      <c r="R83" t="s">
        <v>17</v>
      </c>
      <c r="S83" t="str">
        <f t="shared" si="13"/>
        <v>Ravi</v>
      </c>
      <c r="T83" t="str">
        <f t="shared" si="14"/>
        <v>FINANCE</v>
      </c>
      <c r="U83" t="str">
        <f t="shared" si="15"/>
        <v>Present</v>
      </c>
      <c r="V83" s="4">
        <f t="shared" si="16"/>
        <v>0.52631578947368418</v>
      </c>
      <c r="W83" t="str">
        <f t="shared" si="17"/>
        <v>OK</v>
      </c>
    </row>
    <row r="84" spans="1:23" x14ac:dyDescent="0.25">
      <c r="A84" t="s">
        <v>120</v>
      </c>
      <c r="B84" t="s">
        <v>7</v>
      </c>
      <c r="C84" t="s">
        <v>29</v>
      </c>
      <c r="D84" t="s">
        <v>33</v>
      </c>
      <c r="E84" t="s">
        <v>42</v>
      </c>
      <c r="F84" s="2">
        <v>45757</v>
      </c>
      <c r="G84" t="str">
        <f t="shared" si="18"/>
        <v>April</v>
      </c>
      <c r="H84" t="s">
        <v>22</v>
      </c>
      <c r="I84">
        <v>8</v>
      </c>
      <c r="J84">
        <v>1</v>
      </c>
      <c r="K84">
        <v>5</v>
      </c>
      <c r="L84">
        <v>5</v>
      </c>
      <c r="M84">
        <v>15</v>
      </c>
      <c r="N84" s="4">
        <f t="shared" si="19"/>
        <v>0.33333333333333331</v>
      </c>
      <c r="O84">
        <v>46788</v>
      </c>
      <c r="P84" t="str">
        <f t="shared" si="20"/>
        <v>No</v>
      </c>
      <c r="Q84">
        <v>5</v>
      </c>
      <c r="R84" t="s">
        <v>17</v>
      </c>
      <c r="S84" t="str">
        <f t="shared" si="13"/>
        <v>Meena</v>
      </c>
      <c r="T84" t="str">
        <f t="shared" si="14"/>
        <v>HR</v>
      </c>
      <c r="U84" t="str">
        <f t="shared" si="15"/>
        <v>Present</v>
      </c>
      <c r="V84" s="4">
        <f t="shared" si="16"/>
        <v>0.33333333333333331</v>
      </c>
      <c r="W84" t="str">
        <f t="shared" si="17"/>
        <v>OK</v>
      </c>
    </row>
    <row r="85" spans="1:23" x14ac:dyDescent="0.25">
      <c r="A85" t="s">
        <v>121</v>
      </c>
      <c r="B85" t="s">
        <v>19</v>
      </c>
      <c r="C85" t="s">
        <v>8</v>
      </c>
      <c r="D85" t="s">
        <v>9</v>
      </c>
      <c r="E85" t="s">
        <v>21</v>
      </c>
      <c r="F85" s="2">
        <v>45758</v>
      </c>
      <c r="G85" t="str">
        <f t="shared" si="18"/>
        <v>April</v>
      </c>
      <c r="H85" t="s">
        <v>30</v>
      </c>
      <c r="I85">
        <v>0</v>
      </c>
      <c r="J85">
        <v>0</v>
      </c>
      <c r="K85">
        <v>0</v>
      </c>
      <c r="L85">
        <v>4</v>
      </c>
      <c r="M85">
        <v>10</v>
      </c>
      <c r="N85" s="4">
        <f t="shared" si="19"/>
        <v>0</v>
      </c>
      <c r="O85">
        <v>42962</v>
      </c>
      <c r="P85" t="str">
        <f t="shared" si="20"/>
        <v>No</v>
      </c>
      <c r="Q85">
        <v>4</v>
      </c>
      <c r="R85" t="s">
        <v>26</v>
      </c>
      <c r="S85" t="str">
        <f t="shared" si="13"/>
        <v>Priya</v>
      </c>
      <c r="T85" t="str">
        <f t="shared" si="14"/>
        <v>IT</v>
      </c>
      <c r="U85" t="str">
        <f t="shared" si="15"/>
        <v>Absent</v>
      </c>
      <c r="V85" s="4">
        <f t="shared" si="16"/>
        <v>0</v>
      </c>
      <c r="W85" t="str">
        <f t="shared" si="17"/>
        <v>OK</v>
      </c>
    </row>
    <row r="86" spans="1:23" x14ac:dyDescent="0.25">
      <c r="A86" t="s">
        <v>122</v>
      </c>
      <c r="B86" t="s">
        <v>28</v>
      </c>
      <c r="C86" t="s">
        <v>15</v>
      </c>
      <c r="D86" t="s">
        <v>49</v>
      </c>
      <c r="E86" t="s">
        <v>42</v>
      </c>
      <c r="F86" s="2">
        <v>45759</v>
      </c>
      <c r="G86" t="str">
        <f t="shared" si="18"/>
        <v>April</v>
      </c>
      <c r="H86" t="s">
        <v>40</v>
      </c>
      <c r="I86">
        <v>0</v>
      </c>
      <c r="J86">
        <v>0</v>
      </c>
      <c r="K86">
        <v>0</v>
      </c>
      <c r="L86">
        <v>7</v>
      </c>
      <c r="M86">
        <v>20</v>
      </c>
      <c r="N86" s="4">
        <f t="shared" si="19"/>
        <v>0</v>
      </c>
      <c r="O86">
        <v>27963</v>
      </c>
      <c r="P86" t="str">
        <f t="shared" si="20"/>
        <v>No</v>
      </c>
      <c r="Q86">
        <v>7</v>
      </c>
      <c r="R86" t="s">
        <v>17</v>
      </c>
      <c r="S86" t="str">
        <f t="shared" si="13"/>
        <v>Kiran</v>
      </c>
      <c r="T86" t="str">
        <f t="shared" si="14"/>
        <v>FINANCE</v>
      </c>
      <c r="U86" t="str">
        <f t="shared" si="15"/>
        <v>Leave</v>
      </c>
      <c r="V86" s="4">
        <f t="shared" si="16"/>
        <v>0</v>
      </c>
      <c r="W86" t="str">
        <f t="shared" si="17"/>
        <v>OK</v>
      </c>
    </row>
    <row r="87" spans="1:23" x14ac:dyDescent="0.25">
      <c r="A87" t="s">
        <v>123</v>
      </c>
      <c r="B87" t="s">
        <v>66</v>
      </c>
      <c r="C87" t="s">
        <v>8</v>
      </c>
      <c r="D87" t="s">
        <v>45</v>
      </c>
      <c r="E87" t="s">
        <v>21</v>
      </c>
      <c r="F87" s="2">
        <v>45760</v>
      </c>
      <c r="G87" t="str">
        <f t="shared" si="18"/>
        <v>April</v>
      </c>
      <c r="H87" t="s">
        <v>30</v>
      </c>
      <c r="I87">
        <v>0</v>
      </c>
      <c r="J87">
        <v>0</v>
      </c>
      <c r="K87">
        <v>0</v>
      </c>
      <c r="L87">
        <v>6</v>
      </c>
      <c r="M87">
        <v>14</v>
      </c>
      <c r="N87" s="4">
        <f t="shared" si="19"/>
        <v>0</v>
      </c>
      <c r="O87">
        <v>38219</v>
      </c>
      <c r="P87" t="str">
        <f t="shared" si="20"/>
        <v>No</v>
      </c>
      <c r="Q87">
        <v>6</v>
      </c>
      <c r="R87" t="s">
        <v>26</v>
      </c>
      <c r="S87" t="str">
        <f t="shared" si="13"/>
        <v>Asha</v>
      </c>
      <c r="T87" t="str">
        <f t="shared" si="14"/>
        <v>IT</v>
      </c>
      <c r="U87" t="str">
        <f t="shared" si="15"/>
        <v>Absent</v>
      </c>
      <c r="V87" s="4">
        <f t="shared" si="16"/>
        <v>0</v>
      </c>
      <c r="W87" t="str">
        <f t="shared" si="17"/>
        <v>OK</v>
      </c>
    </row>
    <row r="88" spans="1:23" x14ac:dyDescent="0.25">
      <c r="A88" t="s">
        <v>124</v>
      </c>
      <c r="B88" t="s">
        <v>66</v>
      </c>
      <c r="C88" t="s">
        <v>29</v>
      </c>
      <c r="D88" t="s">
        <v>45</v>
      </c>
      <c r="E88" t="s">
        <v>34</v>
      </c>
      <c r="F88" s="2">
        <v>45761</v>
      </c>
      <c r="G88" t="str">
        <f t="shared" si="18"/>
        <v>April</v>
      </c>
      <c r="H88" t="s">
        <v>30</v>
      </c>
      <c r="I88">
        <v>0</v>
      </c>
      <c r="J88">
        <v>0</v>
      </c>
      <c r="K88">
        <v>0</v>
      </c>
      <c r="L88">
        <v>9</v>
      </c>
      <c r="M88">
        <v>13</v>
      </c>
      <c r="N88" s="4">
        <f t="shared" si="19"/>
        <v>0</v>
      </c>
      <c r="O88">
        <v>35459</v>
      </c>
      <c r="P88" t="str">
        <f t="shared" si="20"/>
        <v>No</v>
      </c>
      <c r="Q88">
        <v>9</v>
      </c>
      <c r="R88" t="s">
        <v>12</v>
      </c>
      <c r="S88" t="str">
        <f t="shared" si="13"/>
        <v>Asha</v>
      </c>
      <c r="T88" t="str">
        <f t="shared" si="14"/>
        <v>HR</v>
      </c>
      <c r="U88" t="str">
        <f t="shared" si="15"/>
        <v>Absent</v>
      </c>
      <c r="V88" s="4">
        <f t="shared" si="16"/>
        <v>0</v>
      </c>
      <c r="W88" t="str">
        <f t="shared" si="17"/>
        <v>OK</v>
      </c>
    </row>
    <row r="89" spans="1:23" x14ac:dyDescent="0.25">
      <c r="A89" t="s">
        <v>125</v>
      </c>
      <c r="B89" t="s">
        <v>36</v>
      </c>
      <c r="C89" t="s">
        <v>20</v>
      </c>
      <c r="D89" t="s">
        <v>45</v>
      </c>
      <c r="E89" t="s">
        <v>10</v>
      </c>
      <c r="F89" s="2">
        <v>45762</v>
      </c>
      <c r="G89" t="str">
        <f t="shared" si="18"/>
        <v>April</v>
      </c>
      <c r="H89" t="s">
        <v>30</v>
      </c>
      <c r="I89">
        <v>0</v>
      </c>
      <c r="J89">
        <v>0</v>
      </c>
      <c r="K89">
        <v>0</v>
      </c>
      <c r="L89">
        <v>5</v>
      </c>
      <c r="M89">
        <v>19</v>
      </c>
      <c r="N89" s="4">
        <f t="shared" si="19"/>
        <v>0</v>
      </c>
      <c r="O89">
        <v>36433</v>
      </c>
      <c r="P89" t="str">
        <f t="shared" si="20"/>
        <v>No</v>
      </c>
      <c r="Q89">
        <v>5</v>
      </c>
      <c r="R89" t="s">
        <v>26</v>
      </c>
      <c r="S89" t="str">
        <f t="shared" si="13"/>
        <v>Varun</v>
      </c>
      <c r="T89" t="str">
        <f t="shared" si="14"/>
        <v>SALES</v>
      </c>
      <c r="U89" t="str">
        <f t="shared" si="15"/>
        <v>Absent</v>
      </c>
      <c r="V89" s="4">
        <f t="shared" si="16"/>
        <v>0</v>
      </c>
      <c r="W89" t="str">
        <f t="shared" si="17"/>
        <v>OK</v>
      </c>
    </row>
    <row r="90" spans="1:23" x14ac:dyDescent="0.25">
      <c r="A90" t="s">
        <v>126</v>
      </c>
      <c r="B90" t="s">
        <v>44</v>
      </c>
      <c r="C90" t="s">
        <v>8</v>
      </c>
      <c r="D90" t="s">
        <v>16</v>
      </c>
      <c r="E90" t="s">
        <v>21</v>
      </c>
      <c r="F90" s="2">
        <v>45763</v>
      </c>
      <c r="G90" t="str">
        <f t="shared" si="18"/>
        <v>April</v>
      </c>
      <c r="H90" t="s">
        <v>30</v>
      </c>
      <c r="I90">
        <v>0</v>
      </c>
      <c r="J90">
        <v>0</v>
      </c>
      <c r="K90">
        <v>0</v>
      </c>
      <c r="L90">
        <v>7</v>
      </c>
      <c r="M90">
        <v>18</v>
      </c>
      <c r="N90" s="4">
        <f t="shared" si="19"/>
        <v>0</v>
      </c>
      <c r="O90">
        <v>42097</v>
      </c>
      <c r="P90" t="str">
        <f t="shared" si="20"/>
        <v>No</v>
      </c>
      <c r="Q90">
        <v>7</v>
      </c>
      <c r="R90" t="s">
        <v>17</v>
      </c>
      <c r="S90" t="str">
        <f t="shared" si="13"/>
        <v>Rohit</v>
      </c>
      <c r="T90" t="str">
        <f t="shared" si="14"/>
        <v>IT</v>
      </c>
      <c r="U90" t="str">
        <f t="shared" si="15"/>
        <v>Absent</v>
      </c>
      <c r="V90" s="4">
        <f t="shared" si="16"/>
        <v>0</v>
      </c>
      <c r="W90" t="str">
        <f t="shared" si="17"/>
        <v>OK</v>
      </c>
    </row>
    <row r="91" spans="1:23" x14ac:dyDescent="0.25">
      <c r="A91" t="s">
        <v>127</v>
      </c>
      <c r="B91" t="s">
        <v>25</v>
      </c>
      <c r="C91" t="s">
        <v>8</v>
      </c>
      <c r="D91" t="s">
        <v>45</v>
      </c>
      <c r="E91" t="s">
        <v>21</v>
      </c>
      <c r="F91" s="2">
        <v>45764</v>
      </c>
      <c r="G91" t="str">
        <f t="shared" si="18"/>
        <v>April</v>
      </c>
      <c r="H91" t="s">
        <v>11</v>
      </c>
      <c r="I91">
        <v>8</v>
      </c>
      <c r="J91">
        <v>0</v>
      </c>
      <c r="K91">
        <v>10</v>
      </c>
      <c r="L91">
        <v>5</v>
      </c>
      <c r="M91">
        <v>13</v>
      </c>
      <c r="N91" s="4">
        <f t="shared" si="19"/>
        <v>0.76923076923076927</v>
      </c>
      <c r="O91">
        <v>42620</v>
      </c>
      <c r="P91" t="str">
        <f t="shared" si="20"/>
        <v>No</v>
      </c>
      <c r="Q91">
        <v>5</v>
      </c>
      <c r="R91" t="s">
        <v>17</v>
      </c>
      <c r="S91" t="str">
        <f t="shared" si="13"/>
        <v>Arjun</v>
      </c>
      <c r="T91" t="str">
        <f t="shared" si="14"/>
        <v>IT</v>
      </c>
      <c r="U91" t="str">
        <f t="shared" si="15"/>
        <v>Wfh</v>
      </c>
      <c r="V91" s="4">
        <f t="shared" si="16"/>
        <v>0.76923076923076927</v>
      </c>
      <c r="W91" t="str">
        <f t="shared" si="17"/>
        <v>OK</v>
      </c>
    </row>
    <row r="92" spans="1:23" x14ac:dyDescent="0.25">
      <c r="A92" t="s">
        <v>128</v>
      </c>
      <c r="B92" t="s">
        <v>36</v>
      </c>
      <c r="C92" t="s">
        <v>29</v>
      </c>
      <c r="D92" t="s">
        <v>9</v>
      </c>
      <c r="E92" t="s">
        <v>34</v>
      </c>
      <c r="F92" s="2">
        <v>45765</v>
      </c>
      <c r="G92" t="str">
        <f t="shared" si="18"/>
        <v>April</v>
      </c>
      <c r="H92" t="s">
        <v>30</v>
      </c>
      <c r="I92">
        <v>0</v>
      </c>
      <c r="J92">
        <v>0</v>
      </c>
      <c r="K92">
        <v>0</v>
      </c>
      <c r="L92">
        <v>6</v>
      </c>
      <c r="M92">
        <v>15</v>
      </c>
      <c r="N92" s="4">
        <f t="shared" si="19"/>
        <v>0</v>
      </c>
      <c r="O92">
        <v>30358</v>
      </c>
      <c r="P92" t="str">
        <f t="shared" si="20"/>
        <v>No</v>
      </c>
      <c r="Q92">
        <v>6</v>
      </c>
      <c r="R92" t="s">
        <v>17</v>
      </c>
      <c r="S92" t="str">
        <f t="shared" si="13"/>
        <v>Varun</v>
      </c>
      <c r="T92" t="str">
        <f t="shared" si="14"/>
        <v>HR</v>
      </c>
      <c r="U92" t="str">
        <f t="shared" si="15"/>
        <v>Absent</v>
      </c>
      <c r="V92" s="4">
        <f t="shared" si="16"/>
        <v>0</v>
      </c>
      <c r="W92" t="str">
        <f t="shared" si="17"/>
        <v>OK</v>
      </c>
    </row>
    <row r="93" spans="1:23" x14ac:dyDescent="0.25">
      <c r="A93" t="s">
        <v>129</v>
      </c>
      <c r="B93" t="s">
        <v>7</v>
      </c>
      <c r="C93" t="s">
        <v>8</v>
      </c>
      <c r="D93" t="s">
        <v>49</v>
      </c>
      <c r="E93" t="s">
        <v>10</v>
      </c>
      <c r="F93" s="2">
        <v>45766</v>
      </c>
      <c r="G93" t="str">
        <f t="shared" si="18"/>
        <v>April</v>
      </c>
      <c r="H93" t="s">
        <v>22</v>
      </c>
      <c r="I93">
        <v>8</v>
      </c>
      <c r="J93">
        <v>1</v>
      </c>
      <c r="K93">
        <v>5</v>
      </c>
      <c r="L93">
        <v>7</v>
      </c>
      <c r="M93">
        <v>15</v>
      </c>
      <c r="N93" s="4">
        <f t="shared" si="19"/>
        <v>0.33333333333333331</v>
      </c>
      <c r="O93">
        <v>47613</v>
      </c>
      <c r="P93" t="str">
        <f t="shared" si="20"/>
        <v>No</v>
      </c>
      <c r="Q93">
        <v>7</v>
      </c>
      <c r="R93" t="s">
        <v>17</v>
      </c>
      <c r="S93" t="str">
        <f t="shared" si="13"/>
        <v>Meena</v>
      </c>
      <c r="T93" t="str">
        <f t="shared" si="14"/>
        <v>IT</v>
      </c>
      <c r="U93" t="str">
        <f t="shared" si="15"/>
        <v>Present</v>
      </c>
      <c r="V93" s="4">
        <f t="shared" si="16"/>
        <v>0.33333333333333331</v>
      </c>
      <c r="W93" t="str">
        <f t="shared" si="17"/>
        <v>OK</v>
      </c>
    </row>
    <row r="94" spans="1:23" x14ac:dyDescent="0.25">
      <c r="A94" t="s">
        <v>130</v>
      </c>
      <c r="B94" t="s">
        <v>32</v>
      </c>
      <c r="C94" t="s">
        <v>29</v>
      </c>
      <c r="D94" t="s">
        <v>33</v>
      </c>
      <c r="E94" t="s">
        <v>10</v>
      </c>
      <c r="F94" s="2">
        <v>45767</v>
      </c>
      <c r="G94" t="str">
        <f t="shared" si="18"/>
        <v>April</v>
      </c>
      <c r="H94" t="s">
        <v>11</v>
      </c>
      <c r="I94">
        <v>8</v>
      </c>
      <c r="J94">
        <v>0</v>
      </c>
      <c r="K94">
        <v>9</v>
      </c>
      <c r="L94">
        <v>6</v>
      </c>
      <c r="M94">
        <v>17</v>
      </c>
      <c r="N94" s="4">
        <f t="shared" si="19"/>
        <v>0.52941176470588236</v>
      </c>
      <c r="O94">
        <v>35431</v>
      </c>
      <c r="P94" t="str">
        <f t="shared" si="20"/>
        <v>No</v>
      </c>
      <c r="Q94">
        <v>6</v>
      </c>
      <c r="R94" t="s">
        <v>17</v>
      </c>
      <c r="S94" t="str">
        <f t="shared" si="13"/>
        <v>Sneha</v>
      </c>
      <c r="T94" t="str">
        <f t="shared" si="14"/>
        <v>HR</v>
      </c>
      <c r="U94" t="str">
        <f t="shared" si="15"/>
        <v>Wfh</v>
      </c>
      <c r="V94" s="4">
        <f t="shared" si="16"/>
        <v>0.52941176470588236</v>
      </c>
      <c r="W94" t="str">
        <f t="shared" si="17"/>
        <v>OK</v>
      </c>
    </row>
    <row r="95" spans="1:23" x14ac:dyDescent="0.25">
      <c r="A95" t="s">
        <v>131</v>
      </c>
      <c r="B95" t="s">
        <v>28</v>
      </c>
      <c r="C95" t="s">
        <v>8</v>
      </c>
      <c r="D95" t="s">
        <v>49</v>
      </c>
      <c r="E95" t="s">
        <v>21</v>
      </c>
      <c r="F95" s="2">
        <v>45768</v>
      </c>
      <c r="G95" t="str">
        <f t="shared" si="18"/>
        <v>April</v>
      </c>
      <c r="H95" t="s">
        <v>11</v>
      </c>
      <c r="I95">
        <v>8</v>
      </c>
      <c r="J95">
        <v>0</v>
      </c>
      <c r="K95">
        <v>15</v>
      </c>
      <c r="L95">
        <v>6</v>
      </c>
      <c r="M95">
        <v>17</v>
      </c>
      <c r="N95" s="4">
        <f t="shared" si="19"/>
        <v>0.88235294117647056</v>
      </c>
      <c r="O95">
        <v>43386</v>
      </c>
      <c r="P95" t="str">
        <f t="shared" si="20"/>
        <v>No</v>
      </c>
      <c r="Q95">
        <v>6</v>
      </c>
      <c r="R95" t="s">
        <v>26</v>
      </c>
      <c r="S95" t="str">
        <f t="shared" si="13"/>
        <v>Kiran</v>
      </c>
      <c r="T95" t="str">
        <f t="shared" si="14"/>
        <v>IT</v>
      </c>
      <c r="U95" t="str">
        <f t="shared" si="15"/>
        <v>Wfh</v>
      </c>
      <c r="V95" s="4">
        <f t="shared" si="16"/>
        <v>0.88235294117647056</v>
      </c>
      <c r="W95" t="str">
        <f t="shared" si="17"/>
        <v>OK</v>
      </c>
    </row>
    <row r="96" spans="1:23" x14ac:dyDescent="0.25">
      <c r="A96" t="s">
        <v>132</v>
      </c>
      <c r="B96" t="s">
        <v>66</v>
      </c>
      <c r="C96" t="s">
        <v>20</v>
      </c>
      <c r="D96" t="s">
        <v>33</v>
      </c>
      <c r="E96" t="s">
        <v>42</v>
      </c>
      <c r="F96" s="2">
        <v>45769</v>
      </c>
      <c r="G96" t="str">
        <f t="shared" si="18"/>
        <v>April</v>
      </c>
      <c r="H96" t="s">
        <v>22</v>
      </c>
      <c r="I96">
        <v>8</v>
      </c>
      <c r="J96">
        <v>3</v>
      </c>
      <c r="K96">
        <v>20</v>
      </c>
      <c r="L96">
        <v>5</v>
      </c>
      <c r="M96">
        <v>11</v>
      </c>
      <c r="N96" s="4">
        <f t="shared" si="19"/>
        <v>1.8181818181818181</v>
      </c>
      <c r="O96">
        <v>28820</v>
      </c>
      <c r="P96" t="str">
        <f t="shared" si="20"/>
        <v>Yes</v>
      </c>
      <c r="Q96">
        <v>5</v>
      </c>
      <c r="R96" t="s">
        <v>17</v>
      </c>
      <c r="S96" t="str">
        <f t="shared" si="13"/>
        <v>Asha</v>
      </c>
      <c r="T96" t="str">
        <f t="shared" si="14"/>
        <v>SALES</v>
      </c>
      <c r="U96" t="str">
        <f t="shared" si="15"/>
        <v>Present</v>
      </c>
      <c r="V96" s="4">
        <f t="shared" si="16"/>
        <v>1.8181818181818181</v>
      </c>
      <c r="W96" t="str">
        <f t="shared" si="17"/>
        <v>OK</v>
      </c>
    </row>
    <row r="97" spans="1:23" x14ac:dyDescent="0.25">
      <c r="A97" t="s">
        <v>133</v>
      </c>
      <c r="B97" t="s">
        <v>28</v>
      </c>
      <c r="C97" t="s">
        <v>20</v>
      </c>
      <c r="D97" t="s">
        <v>45</v>
      </c>
      <c r="E97" t="s">
        <v>42</v>
      </c>
      <c r="F97" s="2">
        <v>45770</v>
      </c>
      <c r="G97" t="str">
        <f t="shared" si="18"/>
        <v>April</v>
      </c>
      <c r="H97" t="s">
        <v>40</v>
      </c>
      <c r="I97">
        <v>0</v>
      </c>
      <c r="J97">
        <v>0</v>
      </c>
      <c r="K97">
        <v>0</v>
      </c>
      <c r="L97">
        <v>7</v>
      </c>
      <c r="M97">
        <v>10</v>
      </c>
      <c r="N97" s="4">
        <f t="shared" si="19"/>
        <v>0</v>
      </c>
      <c r="O97">
        <v>26679</v>
      </c>
      <c r="P97" t="str">
        <f t="shared" si="20"/>
        <v>No</v>
      </c>
      <c r="Q97">
        <v>7</v>
      </c>
      <c r="R97" t="s">
        <v>17</v>
      </c>
      <c r="S97" t="str">
        <f t="shared" si="13"/>
        <v>Kiran</v>
      </c>
      <c r="T97" t="str">
        <f t="shared" si="14"/>
        <v>SALES</v>
      </c>
      <c r="U97" t="str">
        <f t="shared" si="15"/>
        <v>Leave</v>
      </c>
      <c r="V97" s="4">
        <f t="shared" si="16"/>
        <v>0</v>
      </c>
      <c r="W97" t="str">
        <f t="shared" si="17"/>
        <v>OK</v>
      </c>
    </row>
    <row r="98" spans="1:23" x14ac:dyDescent="0.25">
      <c r="A98" t="s">
        <v>134</v>
      </c>
      <c r="B98" t="s">
        <v>39</v>
      </c>
      <c r="C98" t="s">
        <v>29</v>
      </c>
      <c r="D98" t="s">
        <v>16</v>
      </c>
      <c r="E98" t="s">
        <v>21</v>
      </c>
      <c r="F98" s="2">
        <v>45771</v>
      </c>
      <c r="G98" t="str">
        <f t="shared" si="18"/>
        <v>April</v>
      </c>
      <c r="H98" t="s">
        <v>11</v>
      </c>
      <c r="I98">
        <v>8</v>
      </c>
      <c r="J98">
        <v>0</v>
      </c>
      <c r="K98">
        <v>9</v>
      </c>
      <c r="L98">
        <v>7</v>
      </c>
      <c r="M98">
        <v>10</v>
      </c>
      <c r="N98" s="4">
        <f t="shared" si="19"/>
        <v>0.9</v>
      </c>
      <c r="O98">
        <v>32438</v>
      </c>
      <c r="P98" t="str">
        <f t="shared" si="20"/>
        <v>Yes</v>
      </c>
      <c r="Q98">
        <v>7</v>
      </c>
      <c r="R98" t="s">
        <v>17</v>
      </c>
      <c r="S98" t="str">
        <f t="shared" si="13"/>
        <v>Ravi</v>
      </c>
      <c r="T98" t="str">
        <f t="shared" si="14"/>
        <v>HR</v>
      </c>
      <c r="U98" t="str">
        <f t="shared" si="15"/>
        <v>Wfh</v>
      </c>
      <c r="V98" s="4">
        <f t="shared" si="16"/>
        <v>0.9</v>
      </c>
      <c r="W98" t="str">
        <f t="shared" si="17"/>
        <v>OK</v>
      </c>
    </row>
    <row r="99" spans="1:23" x14ac:dyDescent="0.25">
      <c r="A99" t="s">
        <v>135</v>
      </c>
      <c r="B99" t="s">
        <v>66</v>
      </c>
      <c r="C99" t="s">
        <v>29</v>
      </c>
      <c r="D99" t="s">
        <v>33</v>
      </c>
      <c r="E99" t="s">
        <v>42</v>
      </c>
      <c r="F99" s="2">
        <v>45772</v>
      </c>
      <c r="G99" t="str">
        <f t="shared" si="18"/>
        <v>April</v>
      </c>
      <c r="H99" t="s">
        <v>40</v>
      </c>
      <c r="I99">
        <v>0</v>
      </c>
      <c r="J99">
        <v>0</v>
      </c>
      <c r="K99">
        <v>0</v>
      </c>
      <c r="L99">
        <v>7</v>
      </c>
      <c r="M99">
        <v>14</v>
      </c>
      <c r="N99" s="4">
        <f t="shared" si="19"/>
        <v>0</v>
      </c>
      <c r="O99">
        <v>26348</v>
      </c>
      <c r="P99" t="str">
        <f t="shared" si="20"/>
        <v>No</v>
      </c>
      <c r="Q99">
        <v>7</v>
      </c>
      <c r="R99" t="s">
        <v>23</v>
      </c>
      <c r="S99" t="str">
        <f t="shared" si="13"/>
        <v>Asha</v>
      </c>
      <c r="T99" t="str">
        <f t="shared" si="14"/>
        <v>HR</v>
      </c>
      <c r="U99" t="str">
        <f t="shared" si="15"/>
        <v>Leave</v>
      </c>
      <c r="V99" s="4">
        <f t="shared" si="16"/>
        <v>0</v>
      </c>
      <c r="W99" t="str">
        <f t="shared" si="17"/>
        <v>OK</v>
      </c>
    </row>
    <row r="100" spans="1:23" x14ac:dyDescent="0.25">
      <c r="A100" t="s">
        <v>136</v>
      </c>
      <c r="B100" t="s">
        <v>7</v>
      </c>
      <c r="C100" t="s">
        <v>8</v>
      </c>
      <c r="D100" t="s">
        <v>16</v>
      </c>
      <c r="E100" t="s">
        <v>34</v>
      </c>
      <c r="F100" s="2">
        <v>45773</v>
      </c>
      <c r="G100" t="str">
        <f t="shared" si="18"/>
        <v>April</v>
      </c>
      <c r="H100" t="s">
        <v>40</v>
      </c>
      <c r="I100">
        <v>0</v>
      </c>
      <c r="J100">
        <v>0</v>
      </c>
      <c r="K100">
        <v>0</v>
      </c>
      <c r="L100">
        <v>10</v>
      </c>
      <c r="M100">
        <v>13</v>
      </c>
      <c r="N100" s="4">
        <f t="shared" si="19"/>
        <v>0</v>
      </c>
      <c r="O100">
        <v>40354</v>
      </c>
      <c r="P100" t="str">
        <f t="shared" si="20"/>
        <v>No</v>
      </c>
      <c r="Q100">
        <v>10</v>
      </c>
      <c r="R100" t="s">
        <v>12</v>
      </c>
      <c r="S100" t="str">
        <f t="shared" si="13"/>
        <v>Meena</v>
      </c>
      <c r="T100" t="str">
        <f t="shared" si="14"/>
        <v>IT</v>
      </c>
      <c r="U100" t="str">
        <f t="shared" si="15"/>
        <v>Leave</v>
      </c>
      <c r="V100" s="4">
        <f t="shared" si="16"/>
        <v>0</v>
      </c>
      <c r="W100" t="str">
        <f t="shared" si="17"/>
        <v>OK</v>
      </c>
    </row>
    <row r="101" spans="1:23" x14ac:dyDescent="0.25">
      <c r="A101" t="s">
        <v>137</v>
      </c>
      <c r="B101" t="s">
        <v>32</v>
      </c>
      <c r="C101" t="s">
        <v>8</v>
      </c>
      <c r="D101" t="s">
        <v>9</v>
      </c>
      <c r="E101" t="s">
        <v>42</v>
      </c>
      <c r="F101" s="2">
        <v>45774</v>
      </c>
      <c r="G101" t="str">
        <f t="shared" si="18"/>
        <v>April</v>
      </c>
      <c r="H101" t="s">
        <v>22</v>
      </c>
      <c r="I101">
        <v>8</v>
      </c>
      <c r="J101">
        <v>1</v>
      </c>
      <c r="K101">
        <v>16</v>
      </c>
      <c r="L101">
        <v>10</v>
      </c>
      <c r="M101">
        <v>20</v>
      </c>
      <c r="N101" s="4">
        <f t="shared" si="19"/>
        <v>0.8</v>
      </c>
      <c r="O101">
        <v>48904</v>
      </c>
      <c r="P101" t="str">
        <f t="shared" si="20"/>
        <v>No</v>
      </c>
      <c r="Q101">
        <v>10</v>
      </c>
      <c r="R101" t="s">
        <v>12</v>
      </c>
      <c r="S101" t="str">
        <f t="shared" si="13"/>
        <v>Sneha</v>
      </c>
      <c r="T101" t="str">
        <f t="shared" si="14"/>
        <v>IT</v>
      </c>
      <c r="U101" t="str">
        <f t="shared" si="15"/>
        <v>Present</v>
      </c>
      <c r="V101" s="4">
        <f t="shared" si="16"/>
        <v>0.8</v>
      </c>
      <c r="W101" t="str">
        <f t="shared" si="17"/>
        <v>OK</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1F325-80C9-46B4-B5A7-0EBBF0749C36}">
  <dimension ref="A1:O101"/>
  <sheetViews>
    <sheetView topLeftCell="K6" zoomScale="130" zoomScaleNormal="46" workbookViewId="0">
      <selection activeCell="L2" sqref="L2"/>
    </sheetView>
  </sheetViews>
  <sheetFormatPr defaultRowHeight="13.8" x14ac:dyDescent="0.25"/>
  <cols>
    <col min="1" max="1" width="18.8984375" customWidth="1"/>
    <col min="2" max="2" width="16.69921875" customWidth="1"/>
    <col min="3" max="3" width="17.09765625" customWidth="1"/>
    <col min="5" max="5" width="31.296875" customWidth="1"/>
    <col min="6" max="6" width="16.69921875" customWidth="1"/>
    <col min="7" max="7" width="17" customWidth="1"/>
    <col min="8" max="8" width="28.69921875" customWidth="1"/>
    <col min="9" max="9" width="19.296875" customWidth="1"/>
    <col min="10" max="10" width="18.09765625" customWidth="1"/>
    <col min="11" max="11" width="20.3984375" customWidth="1"/>
    <col min="12" max="12" width="19.5" customWidth="1"/>
    <col min="13" max="13" width="22.09765625" customWidth="1"/>
    <col min="14" max="14" width="18.69921875" customWidth="1"/>
    <col min="15" max="15" width="23.296875" customWidth="1"/>
  </cols>
  <sheetData>
    <row r="1" spans="1:15" x14ac:dyDescent="0.25">
      <c r="A1" s="5" t="s">
        <v>138</v>
      </c>
      <c r="B1" s="5" t="s">
        <v>156</v>
      </c>
      <c r="C1" s="5" t="s">
        <v>0</v>
      </c>
      <c r="D1" s="5" t="s">
        <v>3</v>
      </c>
      <c r="E1" s="5" t="s">
        <v>157</v>
      </c>
      <c r="F1" s="5" t="s">
        <v>144</v>
      </c>
      <c r="G1" s="5" t="s">
        <v>145</v>
      </c>
      <c r="H1" s="5" t="s">
        <v>158</v>
      </c>
      <c r="I1" s="5" t="s">
        <v>146</v>
      </c>
      <c r="J1" s="5" t="s">
        <v>142</v>
      </c>
      <c r="K1" s="5" t="s">
        <v>148</v>
      </c>
      <c r="L1" s="5" t="s">
        <v>159</v>
      </c>
      <c r="M1" s="5" t="s">
        <v>160</v>
      </c>
      <c r="N1" s="5" t="s">
        <v>161</v>
      </c>
      <c r="O1" s="5" t="s">
        <v>149</v>
      </c>
    </row>
    <row r="2" spans="1:15" x14ac:dyDescent="0.25">
      <c r="A2" t="str">
        <f>HR_CleanTable[[#This Row],[Employee ID]]</f>
        <v>E001</v>
      </c>
      <c r="B2" t="str">
        <f>HR_CleanTable[[#This Row],[Clean Employee Name]]</f>
        <v>Meena</v>
      </c>
      <c r="C2" t="str">
        <f>HR_CleanTable[[#This Row],[Clean Department]]</f>
        <v>IT</v>
      </c>
      <c r="D2" t="str">
        <f>HR_CleanTable[[#This Row],[Month]]</f>
        <v>January</v>
      </c>
      <c r="E2">
        <f>HR_CleanTable[[#This Row],[Working Hours ]]</f>
        <v>8</v>
      </c>
      <c r="F2">
        <f>HR_CleanTable[[#This Row],[Overtime Hours]]</f>
        <v>0</v>
      </c>
      <c r="G2">
        <f>HR_CleanTable[[#This Row],[Tasks Completed]]</f>
        <v>10</v>
      </c>
      <c r="H2">
        <f>HR_CleanTable[[#This Row],[Target Task]]</f>
        <v>17</v>
      </c>
      <c r="I2">
        <f>HR_CleanTable[[#This Row],[Performance Score]]</f>
        <v>6</v>
      </c>
      <c r="J2" t="str">
        <f>HR_CleanTable[[#This Row],[Attendance Status]]</f>
        <v>WFH</v>
      </c>
      <c r="K2" s="4">
        <f>IFERROR(G2/Performance_Sheet[[#This Row],[Target Tasks]],0)</f>
        <v>0.58823529411764708</v>
      </c>
      <c r="L2">
        <f t="shared" ref="L2:L33" si="0">IF(J2="Present",1,0)</f>
        <v>0</v>
      </c>
      <c r="M2" t="str">
        <f t="shared" ref="M2:M33" si="1">IF(I2&gt;=8,"High Performer",IF(I2&gt;=5,"Medium Performer","Low Performer"))</f>
        <v>Medium Performer</v>
      </c>
      <c r="N2">
        <f t="shared" ref="N2:N33" si="2">(I2*0.6)+(L2*0.4)</f>
        <v>3.5999999999999996</v>
      </c>
      <c r="O2" t="str">
        <f t="shared" ref="O2:O33" si="3">IF(AND(I2&gt;=7,L2=1),"Eligible","Not Eligible")</f>
        <v>Not Eligible</v>
      </c>
    </row>
    <row r="3" spans="1:15" x14ac:dyDescent="0.25">
      <c r="A3" t="str">
        <f>HR_CleanTable[[#This Row],[Employee ID]]</f>
        <v>E002</v>
      </c>
      <c r="B3" t="str">
        <f>HR_CleanTable[[#This Row],[Clean Employee Name]]</f>
        <v>Pooja</v>
      </c>
      <c r="C3" t="str">
        <f>HR_CleanTable[[#This Row],[Clean Department]]</f>
        <v>FINANCE</v>
      </c>
      <c r="D3" t="str">
        <f>HR_CleanTable[[#This Row],[Month]]</f>
        <v>January</v>
      </c>
      <c r="E3">
        <f>HR_CleanTable[[#This Row],[Working Hours ]]</f>
        <v>8</v>
      </c>
      <c r="F3">
        <f>HR_CleanTable[[#This Row],[Overtime Hours]]</f>
        <v>0</v>
      </c>
      <c r="G3">
        <f>HR_CleanTable[[#This Row],[Tasks Completed]]</f>
        <v>20</v>
      </c>
      <c r="H3">
        <f>HR_CleanTable[[#This Row],[Target Task]]</f>
        <v>10</v>
      </c>
      <c r="I3">
        <f>HR_CleanTable[[#This Row],[Performance Score]]</f>
        <v>7</v>
      </c>
      <c r="J3" t="str">
        <f>HR_CleanTable[[#This Row],[Attendance Status]]</f>
        <v>WFH</v>
      </c>
      <c r="K3" s="4">
        <f>IFERROR(G3/Performance_Sheet[[#This Row],[Target Tasks]],0)</f>
        <v>2</v>
      </c>
      <c r="L3">
        <f t="shared" si="0"/>
        <v>0</v>
      </c>
      <c r="M3" t="str">
        <f t="shared" si="1"/>
        <v>Medium Performer</v>
      </c>
      <c r="N3">
        <f t="shared" si="2"/>
        <v>4.2</v>
      </c>
      <c r="O3" t="str">
        <f t="shared" si="3"/>
        <v>Not Eligible</v>
      </c>
    </row>
    <row r="4" spans="1:15" x14ac:dyDescent="0.25">
      <c r="A4" t="str">
        <f>HR_CleanTable[[#This Row],[Employee ID]]</f>
        <v>E003</v>
      </c>
      <c r="B4" t="str">
        <f>HR_CleanTable[[#This Row],[Clean Employee Name]]</f>
        <v>Priya</v>
      </c>
      <c r="C4" t="str">
        <f>HR_CleanTable[[#This Row],[Clean Department]]</f>
        <v>SALES</v>
      </c>
      <c r="D4" t="str">
        <f>HR_CleanTable[[#This Row],[Month]]</f>
        <v>January</v>
      </c>
      <c r="E4">
        <f>HR_CleanTable[[#This Row],[Working Hours ]]</f>
        <v>8</v>
      </c>
      <c r="F4">
        <f>HR_CleanTable[[#This Row],[Overtime Hours]]</f>
        <v>1</v>
      </c>
      <c r="G4">
        <f>HR_CleanTable[[#This Row],[Tasks Completed]]</f>
        <v>19</v>
      </c>
      <c r="H4">
        <f>HR_CleanTable[[#This Row],[Target Task]]</f>
        <v>18</v>
      </c>
      <c r="I4">
        <f>HR_CleanTable[[#This Row],[Performance Score]]</f>
        <v>9</v>
      </c>
      <c r="J4" t="str">
        <f>HR_CleanTable[[#This Row],[Attendance Status]]</f>
        <v>Present</v>
      </c>
      <c r="K4" s="4">
        <f>IFERROR(G4/Performance_Sheet[[#This Row],[Target Tasks]],0)</f>
        <v>1.0555555555555556</v>
      </c>
      <c r="L4">
        <f t="shared" si="0"/>
        <v>1</v>
      </c>
      <c r="M4" t="str">
        <f t="shared" si="1"/>
        <v>High Performer</v>
      </c>
      <c r="N4">
        <f t="shared" si="2"/>
        <v>5.8</v>
      </c>
      <c r="O4" t="str">
        <f t="shared" si="3"/>
        <v>Eligible</v>
      </c>
    </row>
    <row r="5" spans="1:15" x14ac:dyDescent="0.25">
      <c r="A5" t="str">
        <f>HR_CleanTable[[#This Row],[Employee ID]]</f>
        <v>E004</v>
      </c>
      <c r="B5" t="str">
        <f>HR_CleanTable[[#This Row],[Clean Employee Name]]</f>
        <v>Arjun</v>
      </c>
      <c r="C5" t="str">
        <f>HR_CleanTable[[#This Row],[Clean Department]]</f>
        <v>FINANCE</v>
      </c>
      <c r="D5" t="str">
        <f>HR_CleanTable[[#This Row],[Month]]</f>
        <v>January</v>
      </c>
      <c r="E5">
        <f>HR_CleanTable[[#This Row],[Working Hours ]]</f>
        <v>8</v>
      </c>
      <c r="F5">
        <f>HR_CleanTable[[#This Row],[Overtime Hours]]</f>
        <v>3</v>
      </c>
      <c r="G5">
        <f>HR_CleanTable[[#This Row],[Tasks Completed]]</f>
        <v>16</v>
      </c>
      <c r="H5">
        <f>HR_CleanTable[[#This Row],[Target Task]]</f>
        <v>12</v>
      </c>
      <c r="I5">
        <f>HR_CleanTable[[#This Row],[Performance Score]]</f>
        <v>10</v>
      </c>
      <c r="J5" t="str">
        <f>HR_CleanTable[[#This Row],[Attendance Status]]</f>
        <v>Present</v>
      </c>
      <c r="K5" s="4">
        <f>IFERROR(G5/Performance_Sheet[[#This Row],[Target Tasks]],0)</f>
        <v>1.3333333333333333</v>
      </c>
      <c r="L5">
        <f t="shared" si="0"/>
        <v>1</v>
      </c>
      <c r="M5" t="str">
        <f t="shared" si="1"/>
        <v>High Performer</v>
      </c>
      <c r="N5">
        <f t="shared" si="2"/>
        <v>6.4</v>
      </c>
      <c r="O5" t="str">
        <f t="shared" si="3"/>
        <v>Eligible</v>
      </c>
    </row>
    <row r="6" spans="1:15" x14ac:dyDescent="0.25">
      <c r="A6" t="str">
        <f>HR_CleanTable[[#This Row],[Employee ID]]</f>
        <v>E005</v>
      </c>
      <c r="B6" t="str">
        <f>HR_CleanTable[[#This Row],[Clean Employee Name]]</f>
        <v>Kiran</v>
      </c>
      <c r="C6" t="str">
        <f>HR_CleanTable[[#This Row],[Clean Department]]</f>
        <v>HR</v>
      </c>
      <c r="D6" t="str">
        <f>HR_CleanTable[[#This Row],[Month]]</f>
        <v>January</v>
      </c>
      <c r="E6">
        <f>HR_CleanTable[[#This Row],[Working Hours ]]</f>
        <v>0</v>
      </c>
      <c r="F6">
        <f>HR_CleanTable[[#This Row],[Overtime Hours]]</f>
        <v>0</v>
      </c>
      <c r="G6">
        <f>HR_CleanTable[[#This Row],[Tasks Completed]]</f>
        <v>0</v>
      </c>
      <c r="H6">
        <f>HR_CleanTable[[#This Row],[Target Task]]</f>
        <v>18</v>
      </c>
      <c r="I6">
        <f>HR_CleanTable[[#This Row],[Performance Score]]</f>
        <v>9</v>
      </c>
      <c r="J6" t="str">
        <f>HR_CleanTable[[#This Row],[Attendance Status]]</f>
        <v>Absent</v>
      </c>
      <c r="K6" s="4">
        <f>IFERROR(G6/Performance_Sheet[[#This Row],[Target Tasks]],0)</f>
        <v>0</v>
      </c>
      <c r="L6">
        <f t="shared" si="0"/>
        <v>0</v>
      </c>
      <c r="M6" t="str">
        <f t="shared" si="1"/>
        <v>High Performer</v>
      </c>
      <c r="N6">
        <f t="shared" si="2"/>
        <v>5.3999999999999995</v>
      </c>
      <c r="O6" t="str">
        <f t="shared" si="3"/>
        <v>Not Eligible</v>
      </c>
    </row>
    <row r="7" spans="1:15" x14ac:dyDescent="0.25">
      <c r="A7" t="str">
        <f>HR_CleanTable[[#This Row],[Employee ID]]</f>
        <v>E006</v>
      </c>
      <c r="B7" t="str">
        <f>HR_CleanTable[[#This Row],[Clean Employee Name]]</f>
        <v>Sneha</v>
      </c>
      <c r="C7" t="str">
        <f>HR_CleanTable[[#This Row],[Clean Department]]</f>
        <v>IT</v>
      </c>
      <c r="D7" t="str">
        <f>HR_CleanTable[[#This Row],[Month]]</f>
        <v>January</v>
      </c>
      <c r="E7">
        <f>HR_CleanTable[[#This Row],[Working Hours ]]</f>
        <v>8</v>
      </c>
      <c r="F7">
        <f>HR_CleanTable[[#This Row],[Overtime Hours]]</f>
        <v>0</v>
      </c>
      <c r="G7">
        <f>HR_CleanTable[[#This Row],[Tasks Completed]]</f>
        <v>9</v>
      </c>
      <c r="H7">
        <f>HR_CleanTable[[#This Row],[Target Task]]</f>
        <v>17</v>
      </c>
      <c r="I7">
        <f>HR_CleanTable[[#This Row],[Performance Score]]</f>
        <v>5</v>
      </c>
      <c r="J7" t="str">
        <f>HR_CleanTable[[#This Row],[Attendance Status]]</f>
        <v>WFH</v>
      </c>
      <c r="K7" s="4">
        <f>IFERROR(G7/Performance_Sheet[[#This Row],[Target Tasks]],0)</f>
        <v>0.52941176470588236</v>
      </c>
      <c r="L7">
        <f t="shared" si="0"/>
        <v>0</v>
      </c>
      <c r="M7" t="str">
        <f t="shared" si="1"/>
        <v>Medium Performer</v>
      </c>
      <c r="N7">
        <f t="shared" si="2"/>
        <v>3</v>
      </c>
      <c r="O7" t="str">
        <f t="shared" si="3"/>
        <v>Not Eligible</v>
      </c>
    </row>
    <row r="8" spans="1:15" x14ac:dyDescent="0.25">
      <c r="A8" t="str">
        <f>HR_CleanTable[[#This Row],[Employee ID]]</f>
        <v>E007</v>
      </c>
      <c r="B8" t="str">
        <f>HR_CleanTable[[#This Row],[Clean Employee Name]]</f>
        <v>Varun</v>
      </c>
      <c r="C8" t="str">
        <f>HR_CleanTable[[#This Row],[Clean Department]]</f>
        <v>HR</v>
      </c>
      <c r="D8" t="str">
        <f>HR_CleanTable[[#This Row],[Month]]</f>
        <v>January</v>
      </c>
      <c r="E8">
        <f>HR_CleanTable[[#This Row],[Working Hours ]]</f>
        <v>8</v>
      </c>
      <c r="F8">
        <f>HR_CleanTable[[#This Row],[Overtime Hours]]</f>
        <v>0</v>
      </c>
      <c r="G8">
        <f>HR_CleanTable[[#This Row],[Tasks Completed]]</f>
        <v>19</v>
      </c>
      <c r="H8">
        <f>HR_CleanTable[[#This Row],[Target Task]]</f>
        <v>12</v>
      </c>
      <c r="I8">
        <f>HR_CleanTable[[#This Row],[Performance Score]]</f>
        <v>8</v>
      </c>
      <c r="J8" t="str">
        <f>HR_CleanTable[[#This Row],[Attendance Status]]</f>
        <v>Present</v>
      </c>
      <c r="K8" s="4">
        <f>IFERROR(G8/Performance_Sheet[[#This Row],[Target Tasks]],0)</f>
        <v>1.5833333333333333</v>
      </c>
      <c r="L8">
        <f t="shared" si="0"/>
        <v>1</v>
      </c>
      <c r="M8" t="str">
        <f t="shared" si="1"/>
        <v>High Performer</v>
      </c>
      <c r="N8">
        <f t="shared" si="2"/>
        <v>5.2</v>
      </c>
      <c r="O8" t="str">
        <f t="shared" si="3"/>
        <v>Eligible</v>
      </c>
    </row>
    <row r="9" spans="1:15" x14ac:dyDescent="0.25">
      <c r="A9" t="str">
        <f>HR_CleanTable[[#This Row],[Employee ID]]</f>
        <v>E008</v>
      </c>
      <c r="B9" t="str">
        <f>HR_CleanTable[[#This Row],[Clean Employee Name]]</f>
        <v>Ravi</v>
      </c>
      <c r="C9" t="str">
        <f>HR_CleanTable[[#This Row],[Clean Department]]</f>
        <v>HR</v>
      </c>
      <c r="D9" t="str">
        <f>HR_CleanTable[[#This Row],[Month]]</f>
        <v>January</v>
      </c>
      <c r="E9">
        <f>HR_CleanTable[[#This Row],[Working Hours ]]</f>
        <v>0</v>
      </c>
      <c r="F9">
        <f>HR_CleanTable[[#This Row],[Overtime Hours]]</f>
        <v>0</v>
      </c>
      <c r="G9">
        <f>HR_CleanTable[[#This Row],[Tasks Completed]]</f>
        <v>0</v>
      </c>
      <c r="H9">
        <f>HR_CleanTable[[#This Row],[Target Task]]</f>
        <v>19</v>
      </c>
      <c r="I9">
        <f>HR_CleanTable[[#This Row],[Performance Score]]</f>
        <v>3</v>
      </c>
      <c r="J9" t="str">
        <f>HR_CleanTable[[#This Row],[Attendance Status]]</f>
        <v>Leave</v>
      </c>
      <c r="K9" s="4">
        <f>IFERROR(G9/Performance_Sheet[[#This Row],[Target Tasks]],0)</f>
        <v>0</v>
      </c>
      <c r="L9">
        <f t="shared" si="0"/>
        <v>0</v>
      </c>
      <c r="M9" t="str">
        <f t="shared" si="1"/>
        <v>Low Performer</v>
      </c>
      <c r="N9">
        <f t="shared" si="2"/>
        <v>1.7999999999999998</v>
      </c>
      <c r="O9" t="str">
        <f t="shared" si="3"/>
        <v>Not Eligible</v>
      </c>
    </row>
    <row r="10" spans="1:15" x14ac:dyDescent="0.25">
      <c r="A10" t="str">
        <f>HR_CleanTable[[#This Row],[Employee ID]]</f>
        <v>E009</v>
      </c>
      <c r="B10" t="str">
        <f>HR_CleanTable[[#This Row],[Clean Employee Name]]</f>
        <v>Arjun</v>
      </c>
      <c r="C10" t="str">
        <f>HR_CleanTable[[#This Row],[Clean Department]]</f>
        <v>SALES</v>
      </c>
      <c r="D10" t="str">
        <f>HR_CleanTable[[#This Row],[Month]]</f>
        <v>January</v>
      </c>
      <c r="E10">
        <f>HR_CleanTable[[#This Row],[Working Hours ]]</f>
        <v>8</v>
      </c>
      <c r="F10">
        <f>HR_CleanTable[[#This Row],[Overtime Hours]]</f>
        <v>0</v>
      </c>
      <c r="G10">
        <f>HR_CleanTable[[#This Row],[Tasks Completed]]</f>
        <v>18</v>
      </c>
      <c r="H10">
        <f>HR_CleanTable[[#This Row],[Target Task]]</f>
        <v>17</v>
      </c>
      <c r="I10">
        <f>HR_CleanTable[[#This Row],[Performance Score]]</f>
        <v>10</v>
      </c>
      <c r="J10" t="str">
        <f>HR_CleanTable[[#This Row],[Attendance Status]]</f>
        <v>WFH</v>
      </c>
      <c r="K10" s="4">
        <f>IFERROR(G10/Performance_Sheet[[#This Row],[Target Tasks]],0)</f>
        <v>1.0588235294117647</v>
      </c>
      <c r="L10">
        <f t="shared" si="0"/>
        <v>0</v>
      </c>
      <c r="M10" t="str">
        <f t="shared" si="1"/>
        <v>High Performer</v>
      </c>
      <c r="N10">
        <f t="shared" si="2"/>
        <v>6</v>
      </c>
      <c r="O10" t="str">
        <f t="shared" si="3"/>
        <v>Not Eligible</v>
      </c>
    </row>
    <row r="11" spans="1:15" x14ac:dyDescent="0.25">
      <c r="A11" t="str">
        <f>HR_CleanTable[[#This Row],[Employee ID]]</f>
        <v>E010</v>
      </c>
      <c r="B11" t="str">
        <f>HR_CleanTable[[#This Row],[Clean Employee Name]]</f>
        <v>Rohit</v>
      </c>
      <c r="C11" t="str">
        <f>HR_CleanTable[[#This Row],[Clean Department]]</f>
        <v>HR</v>
      </c>
      <c r="D11" t="str">
        <f>HR_CleanTable[[#This Row],[Month]]</f>
        <v>January</v>
      </c>
      <c r="E11">
        <f>HR_CleanTable[[#This Row],[Working Hours ]]</f>
        <v>8</v>
      </c>
      <c r="F11">
        <f>HR_CleanTable[[#This Row],[Overtime Hours]]</f>
        <v>1</v>
      </c>
      <c r="G11">
        <f>HR_CleanTable[[#This Row],[Tasks Completed]]</f>
        <v>15</v>
      </c>
      <c r="H11">
        <f>HR_CleanTable[[#This Row],[Target Task]]</f>
        <v>11</v>
      </c>
      <c r="I11">
        <f>HR_CleanTable[[#This Row],[Performance Score]]</f>
        <v>4</v>
      </c>
      <c r="J11" t="str">
        <f>HR_CleanTable[[#This Row],[Attendance Status]]</f>
        <v>Present</v>
      </c>
      <c r="K11" s="4">
        <f>IFERROR(G11/Performance_Sheet[[#This Row],[Target Tasks]],0)</f>
        <v>1.3636363636363635</v>
      </c>
      <c r="L11">
        <f t="shared" si="0"/>
        <v>1</v>
      </c>
      <c r="M11" t="str">
        <f t="shared" si="1"/>
        <v>Low Performer</v>
      </c>
      <c r="N11">
        <f t="shared" si="2"/>
        <v>2.8</v>
      </c>
      <c r="O11" t="str">
        <f t="shared" si="3"/>
        <v>Not Eligible</v>
      </c>
    </row>
    <row r="12" spans="1:15" x14ac:dyDescent="0.25">
      <c r="A12" t="str">
        <f>HR_CleanTable[[#This Row],[Employee ID]]</f>
        <v>E011</v>
      </c>
      <c r="B12" t="str">
        <f>HR_CleanTable[[#This Row],[Clean Employee Name]]</f>
        <v>Rohit</v>
      </c>
      <c r="C12" t="str">
        <f>HR_CleanTable[[#This Row],[Clean Department]]</f>
        <v>HR</v>
      </c>
      <c r="D12" t="str">
        <f>HR_CleanTable[[#This Row],[Month]]</f>
        <v>January</v>
      </c>
      <c r="E12">
        <f>HR_CleanTable[[#This Row],[Working Hours ]]</f>
        <v>8</v>
      </c>
      <c r="F12">
        <f>HR_CleanTable[[#This Row],[Overtime Hours]]</f>
        <v>0</v>
      </c>
      <c r="G12">
        <f>HR_CleanTable[[#This Row],[Tasks Completed]]</f>
        <v>18</v>
      </c>
      <c r="H12">
        <f>HR_CleanTable[[#This Row],[Target Task]]</f>
        <v>10</v>
      </c>
      <c r="I12">
        <f>HR_CleanTable[[#This Row],[Performance Score]]</f>
        <v>5</v>
      </c>
      <c r="J12" t="str">
        <f>HR_CleanTable[[#This Row],[Attendance Status]]</f>
        <v>WFH</v>
      </c>
      <c r="K12" s="4">
        <f>IFERROR(G12/Performance_Sheet[[#This Row],[Target Tasks]],0)</f>
        <v>1.8</v>
      </c>
      <c r="L12">
        <f t="shared" si="0"/>
        <v>0</v>
      </c>
      <c r="M12" t="str">
        <f t="shared" si="1"/>
        <v>Medium Performer</v>
      </c>
      <c r="N12">
        <f t="shared" si="2"/>
        <v>3</v>
      </c>
      <c r="O12" t="str">
        <f t="shared" si="3"/>
        <v>Not Eligible</v>
      </c>
    </row>
    <row r="13" spans="1:15" x14ac:dyDescent="0.25">
      <c r="A13" t="str">
        <f>HR_CleanTable[[#This Row],[Employee ID]]</f>
        <v>E012</v>
      </c>
      <c r="B13" t="str">
        <f>HR_CleanTable[[#This Row],[Clean Employee Name]]</f>
        <v>Ravi</v>
      </c>
      <c r="C13" t="str">
        <f>HR_CleanTable[[#This Row],[Clean Department]]</f>
        <v>SALES</v>
      </c>
      <c r="D13" t="str">
        <f>HR_CleanTable[[#This Row],[Month]]</f>
        <v>January</v>
      </c>
      <c r="E13">
        <f>HR_CleanTable[[#This Row],[Working Hours ]]</f>
        <v>0</v>
      </c>
      <c r="F13">
        <f>HR_CleanTable[[#This Row],[Overtime Hours]]</f>
        <v>0</v>
      </c>
      <c r="G13">
        <f>HR_CleanTable[[#This Row],[Tasks Completed]]</f>
        <v>0</v>
      </c>
      <c r="H13">
        <f>HR_CleanTable[[#This Row],[Target Task]]</f>
        <v>12</v>
      </c>
      <c r="I13">
        <f>HR_CleanTable[[#This Row],[Performance Score]]</f>
        <v>8</v>
      </c>
      <c r="J13" t="str">
        <f>HR_CleanTable[[#This Row],[Attendance Status]]</f>
        <v>Absent</v>
      </c>
      <c r="K13" s="4">
        <f>IFERROR(G13/Performance_Sheet[[#This Row],[Target Tasks]],0)</f>
        <v>0</v>
      </c>
      <c r="L13">
        <f t="shared" si="0"/>
        <v>0</v>
      </c>
      <c r="M13" t="str">
        <f t="shared" si="1"/>
        <v>High Performer</v>
      </c>
      <c r="N13">
        <f t="shared" si="2"/>
        <v>4.8</v>
      </c>
      <c r="O13" t="str">
        <f t="shared" si="3"/>
        <v>Not Eligible</v>
      </c>
    </row>
    <row r="14" spans="1:15" x14ac:dyDescent="0.25">
      <c r="A14" t="str">
        <f>HR_CleanTable[[#This Row],[Employee ID]]</f>
        <v>E013</v>
      </c>
      <c r="B14" t="str">
        <f>HR_CleanTable[[#This Row],[Clean Employee Name]]</f>
        <v>Pooja</v>
      </c>
      <c r="C14" t="str">
        <f>HR_CleanTable[[#This Row],[Clean Department]]</f>
        <v>SALES</v>
      </c>
      <c r="D14" t="str">
        <f>HR_CleanTable[[#This Row],[Month]]</f>
        <v>January</v>
      </c>
      <c r="E14">
        <f>HR_CleanTable[[#This Row],[Working Hours ]]</f>
        <v>0</v>
      </c>
      <c r="F14">
        <f>HR_CleanTable[[#This Row],[Overtime Hours]]</f>
        <v>0</v>
      </c>
      <c r="G14">
        <f>HR_CleanTable[[#This Row],[Tasks Completed]]</f>
        <v>0</v>
      </c>
      <c r="H14">
        <f>HR_CleanTable[[#This Row],[Target Task]]</f>
        <v>11</v>
      </c>
      <c r="I14">
        <f>HR_CleanTable[[#This Row],[Performance Score]]</f>
        <v>8</v>
      </c>
      <c r="J14" t="str">
        <f>HR_CleanTable[[#This Row],[Attendance Status]]</f>
        <v>Leave</v>
      </c>
      <c r="K14" s="4">
        <f>IFERROR(G14/Performance_Sheet[[#This Row],[Target Tasks]],0)</f>
        <v>0</v>
      </c>
      <c r="L14">
        <f t="shared" si="0"/>
        <v>0</v>
      </c>
      <c r="M14" t="str">
        <f t="shared" si="1"/>
        <v>High Performer</v>
      </c>
      <c r="N14">
        <f t="shared" si="2"/>
        <v>4.8</v>
      </c>
      <c r="O14" t="str">
        <f t="shared" si="3"/>
        <v>Not Eligible</v>
      </c>
    </row>
    <row r="15" spans="1:15" x14ac:dyDescent="0.25">
      <c r="A15" t="str">
        <f>HR_CleanTable[[#This Row],[Employee ID]]</f>
        <v>E014</v>
      </c>
      <c r="B15" t="str">
        <f>HR_CleanTable[[#This Row],[Clean Employee Name]]</f>
        <v>Priya</v>
      </c>
      <c r="C15" t="str">
        <f>HR_CleanTable[[#This Row],[Clean Department]]</f>
        <v>HR</v>
      </c>
      <c r="D15" t="str">
        <f>HR_CleanTable[[#This Row],[Month]]</f>
        <v>January</v>
      </c>
      <c r="E15">
        <f>HR_CleanTable[[#This Row],[Working Hours ]]</f>
        <v>8</v>
      </c>
      <c r="F15">
        <f>HR_CleanTable[[#This Row],[Overtime Hours]]</f>
        <v>1</v>
      </c>
      <c r="G15">
        <f>HR_CleanTable[[#This Row],[Tasks Completed]]</f>
        <v>20</v>
      </c>
      <c r="H15">
        <f>HR_CleanTable[[#This Row],[Target Task]]</f>
        <v>17</v>
      </c>
      <c r="I15">
        <f>HR_CleanTable[[#This Row],[Performance Score]]</f>
        <v>6</v>
      </c>
      <c r="J15" t="str">
        <f>HR_CleanTable[[#This Row],[Attendance Status]]</f>
        <v>Present</v>
      </c>
      <c r="K15" s="4">
        <f>IFERROR(G15/Performance_Sheet[[#This Row],[Target Tasks]],0)</f>
        <v>1.1764705882352942</v>
      </c>
      <c r="L15">
        <f t="shared" si="0"/>
        <v>1</v>
      </c>
      <c r="M15" t="str">
        <f t="shared" si="1"/>
        <v>Medium Performer</v>
      </c>
      <c r="N15">
        <f t="shared" si="2"/>
        <v>3.9999999999999996</v>
      </c>
      <c r="O15" t="str">
        <f t="shared" si="3"/>
        <v>Not Eligible</v>
      </c>
    </row>
    <row r="16" spans="1:15" x14ac:dyDescent="0.25">
      <c r="A16" t="str">
        <f>HR_CleanTable[[#This Row],[Employee ID]]</f>
        <v>E015</v>
      </c>
      <c r="B16" t="str">
        <f>HR_CleanTable[[#This Row],[Clean Employee Name]]</f>
        <v>Kiran</v>
      </c>
      <c r="C16" t="str">
        <f>HR_CleanTable[[#This Row],[Clean Department]]</f>
        <v>SALES</v>
      </c>
      <c r="D16" t="str">
        <f>HR_CleanTable[[#This Row],[Month]]</f>
        <v>February</v>
      </c>
      <c r="E16">
        <f>HR_CleanTable[[#This Row],[Working Hours ]]</f>
        <v>8</v>
      </c>
      <c r="F16">
        <f>HR_CleanTable[[#This Row],[Overtime Hours]]</f>
        <v>0</v>
      </c>
      <c r="G16">
        <f>HR_CleanTable[[#This Row],[Tasks Completed]]</f>
        <v>13</v>
      </c>
      <c r="H16">
        <f>HR_CleanTable[[#This Row],[Target Task]]</f>
        <v>13</v>
      </c>
      <c r="I16">
        <f>HR_CleanTable[[#This Row],[Performance Score]]</f>
        <v>9</v>
      </c>
      <c r="J16" t="str">
        <f>HR_CleanTable[[#This Row],[Attendance Status]]</f>
        <v>WFH</v>
      </c>
      <c r="K16" s="4">
        <f>IFERROR(G16/Performance_Sheet[[#This Row],[Target Tasks]],0)</f>
        <v>1</v>
      </c>
      <c r="L16">
        <f t="shared" si="0"/>
        <v>0</v>
      </c>
      <c r="M16" t="str">
        <f t="shared" si="1"/>
        <v>High Performer</v>
      </c>
      <c r="N16">
        <f t="shared" si="2"/>
        <v>5.3999999999999995</v>
      </c>
      <c r="O16" t="str">
        <f t="shared" si="3"/>
        <v>Not Eligible</v>
      </c>
    </row>
    <row r="17" spans="1:15" x14ac:dyDescent="0.25">
      <c r="A17" t="str">
        <f>HR_CleanTable[[#This Row],[Employee ID]]</f>
        <v>E016</v>
      </c>
      <c r="B17" t="str">
        <f>HR_CleanTable[[#This Row],[Clean Employee Name]]</f>
        <v>Varun</v>
      </c>
      <c r="C17" t="str">
        <f>HR_CleanTable[[#This Row],[Clean Department]]</f>
        <v>HR</v>
      </c>
      <c r="D17" t="str">
        <f>HR_CleanTable[[#This Row],[Month]]</f>
        <v>February</v>
      </c>
      <c r="E17">
        <f>HR_CleanTable[[#This Row],[Working Hours ]]</f>
        <v>0</v>
      </c>
      <c r="F17">
        <f>HR_CleanTable[[#This Row],[Overtime Hours]]</f>
        <v>0</v>
      </c>
      <c r="G17">
        <f>HR_CleanTable[[#This Row],[Tasks Completed]]</f>
        <v>0</v>
      </c>
      <c r="H17">
        <f>HR_CleanTable[[#This Row],[Target Task]]</f>
        <v>19</v>
      </c>
      <c r="I17">
        <f>HR_CleanTable[[#This Row],[Performance Score]]</f>
        <v>4</v>
      </c>
      <c r="J17" t="str">
        <f>HR_CleanTable[[#This Row],[Attendance Status]]</f>
        <v>Leave</v>
      </c>
      <c r="K17" s="4">
        <f>IFERROR(G17/Performance_Sheet[[#This Row],[Target Tasks]],0)</f>
        <v>0</v>
      </c>
      <c r="L17">
        <f t="shared" si="0"/>
        <v>0</v>
      </c>
      <c r="M17" t="str">
        <f t="shared" si="1"/>
        <v>Low Performer</v>
      </c>
      <c r="N17">
        <f t="shared" si="2"/>
        <v>2.4</v>
      </c>
      <c r="O17" t="str">
        <f t="shared" si="3"/>
        <v>Not Eligible</v>
      </c>
    </row>
    <row r="18" spans="1:15" x14ac:dyDescent="0.25">
      <c r="A18" t="str">
        <f>HR_CleanTable[[#This Row],[Employee ID]]</f>
        <v>E017</v>
      </c>
      <c r="B18" t="str">
        <f>HR_CleanTable[[#This Row],[Clean Employee Name]]</f>
        <v>Meena</v>
      </c>
      <c r="C18" t="str">
        <f>HR_CleanTable[[#This Row],[Clean Department]]</f>
        <v>HR</v>
      </c>
      <c r="D18" t="str">
        <f>HR_CleanTable[[#This Row],[Month]]</f>
        <v>February</v>
      </c>
      <c r="E18">
        <f>HR_CleanTable[[#This Row],[Working Hours ]]</f>
        <v>0</v>
      </c>
      <c r="F18">
        <f>HR_CleanTable[[#This Row],[Overtime Hours]]</f>
        <v>0</v>
      </c>
      <c r="G18">
        <f>HR_CleanTable[[#This Row],[Tasks Completed]]</f>
        <v>0</v>
      </c>
      <c r="H18">
        <f>HR_CleanTable[[#This Row],[Target Task]]</f>
        <v>15</v>
      </c>
      <c r="I18">
        <f>HR_CleanTable[[#This Row],[Performance Score]]</f>
        <v>6</v>
      </c>
      <c r="J18" t="str">
        <f>HR_CleanTable[[#This Row],[Attendance Status]]</f>
        <v>Leave</v>
      </c>
      <c r="K18" s="4">
        <f>IFERROR(G18/Performance_Sheet[[#This Row],[Target Tasks]],0)</f>
        <v>0</v>
      </c>
      <c r="L18">
        <f t="shared" si="0"/>
        <v>0</v>
      </c>
      <c r="M18" t="str">
        <f t="shared" si="1"/>
        <v>Medium Performer</v>
      </c>
      <c r="N18">
        <f t="shared" si="2"/>
        <v>3.5999999999999996</v>
      </c>
      <c r="O18" t="str">
        <f t="shared" si="3"/>
        <v>Not Eligible</v>
      </c>
    </row>
    <row r="19" spans="1:15" x14ac:dyDescent="0.25">
      <c r="A19" t="str">
        <f>HR_CleanTable[[#This Row],[Employee ID]]</f>
        <v>E018</v>
      </c>
      <c r="B19" t="str">
        <f>HR_CleanTable[[#This Row],[Clean Employee Name]]</f>
        <v>Sneha</v>
      </c>
      <c r="C19" t="str">
        <f>HR_CleanTable[[#This Row],[Clean Department]]</f>
        <v>IT</v>
      </c>
      <c r="D19" t="str">
        <f>HR_CleanTable[[#This Row],[Month]]</f>
        <v>February</v>
      </c>
      <c r="E19">
        <f>HR_CleanTable[[#This Row],[Working Hours ]]</f>
        <v>0</v>
      </c>
      <c r="F19">
        <f>HR_CleanTable[[#This Row],[Overtime Hours]]</f>
        <v>0</v>
      </c>
      <c r="G19">
        <f>HR_CleanTable[[#This Row],[Tasks Completed]]</f>
        <v>0</v>
      </c>
      <c r="H19">
        <f>HR_CleanTable[[#This Row],[Target Task]]</f>
        <v>18</v>
      </c>
      <c r="I19">
        <f>HR_CleanTable[[#This Row],[Performance Score]]</f>
        <v>4</v>
      </c>
      <c r="J19" t="str">
        <f>HR_CleanTable[[#This Row],[Attendance Status]]</f>
        <v>Absent</v>
      </c>
      <c r="K19" s="4">
        <f>IFERROR(G19/Performance_Sheet[[#This Row],[Target Tasks]],0)</f>
        <v>0</v>
      </c>
      <c r="L19">
        <f t="shared" si="0"/>
        <v>0</v>
      </c>
      <c r="M19" t="str">
        <f t="shared" si="1"/>
        <v>Low Performer</v>
      </c>
      <c r="N19">
        <f t="shared" si="2"/>
        <v>2.4</v>
      </c>
      <c r="O19" t="str">
        <f t="shared" si="3"/>
        <v>Not Eligible</v>
      </c>
    </row>
    <row r="20" spans="1:15" x14ac:dyDescent="0.25">
      <c r="A20" t="str">
        <f>HR_CleanTable[[#This Row],[Employee ID]]</f>
        <v>E019</v>
      </c>
      <c r="B20" t="str">
        <f>HR_CleanTable[[#This Row],[Clean Employee Name]]</f>
        <v>Varun</v>
      </c>
      <c r="C20" t="str">
        <f>HR_CleanTable[[#This Row],[Clean Department]]</f>
        <v>HR</v>
      </c>
      <c r="D20" t="str">
        <f>HR_CleanTable[[#This Row],[Month]]</f>
        <v>February</v>
      </c>
      <c r="E20">
        <f>HR_CleanTable[[#This Row],[Working Hours ]]</f>
        <v>8</v>
      </c>
      <c r="F20">
        <f>HR_CleanTable[[#This Row],[Overtime Hours]]</f>
        <v>0</v>
      </c>
      <c r="G20">
        <f>HR_CleanTable[[#This Row],[Tasks Completed]]</f>
        <v>17</v>
      </c>
      <c r="H20">
        <f>HR_CleanTable[[#This Row],[Target Task]]</f>
        <v>10</v>
      </c>
      <c r="I20">
        <f>HR_CleanTable[[#This Row],[Performance Score]]</f>
        <v>6</v>
      </c>
      <c r="J20" t="str">
        <f>HR_CleanTable[[#This Row],[Attendance Status]]</f>
        <v>WFH</v>
      </c>
      <c r="K20" s="4">
        <f>IFERROR(G20/Performance_Sheet[[#This Row],[Target Tasks]],0)</f>
        <v>1.7</v>
      </c>
      <c r="L20">
        <f t="shared" si="0"/>
        <v>0</v>
      </c>
      <c r="M20" t="str">
        <f t="shared" si="1"/>
        <v>Medium Performer</v>
      </c>
      <c r="N20">
        <f t="shared" si="2"/>
        <v>3.5999999999999996</v>
      </c>
      <c r="O20" t="str">
        <f t="shared" si="3"/>
        <v>Not Eligible</v>
      </c>
    </row>
    <row r="21" spans="1:15" x14ac:dyDescent="0.25">
      <c r="A21" t="str">
        <f>HR_CleanTable[[#This Row],[Employee ID]]</f>
        <v>E020</v>
      </c>
      <c r="B21" t="str">
        <f>HR_CleanTable[[#This Row],[Clean Employee Name]]</f>
        <v>Varun</v>
      </c>
      <c r="C21" t="str">
        <f>HR_CleanTable[[#This Row],[Clean Department]]</f>
        <v>SALES</v>
      </c>
      <c r="D21" t="str">
        <f>HR_CleanTable[[#This Row],[Month]]</f>
        <v>February</v>
      </c>
      <c r="E21">
        <f>HR_CleanTable[[#This Row],[Working Hours ]]</f>
        <v>8</v>
      </c>
      <c r="F21">
        <f>HR_CleanTable[[#This Row],[Overtime Hours]]</f>
        <v>2</v>
      </c>
      <c r="G21">
        <f>HR_CleanTable[[#This Row],[Tasks Completed]]</f>
        <v>6</v>
      </c>
      <c r="H21">
        <f>HR_CleanTable[[#This Row],[Target Task]]</f>
        <v>13</v>
      </c>
      <c r="I21">
        <f>HR_CleanTable[[#This Row],[Performance Score]]</f>
        <v>9</v>
      </c>
      <c r="J21" t="str">
        <f>HR_CleanTable[[#This Row],[Attendance Status]]</f>
        <v>Present</v>
      </c>
      <c r="K21" s="4">
        <f>IFERROR(G21/Performance_Sheet[[#This Row],[Target Tasks]],0)</f>
        <v>0.46153846153846156</v>
      </c>
      <c r="L21">
        <f t="shared" si="0"/>
        <v>1</v>
      </c>
      <c r="M21" t="str">
        <f t="shared" si="1"/>
        <v>High Performer</v>
      </c>
      <c r="N21">
        <f t="shared" si="2"/>
        <v>5.8</v>
      </c>
      <c r="O21" t="str">
        <f t="shared" si="3"/>
        <v>Eligible</v>
      </c>
    </row>
    <row r="22" spans="1:15" x14ac:dyDescent="0.25">
      <c r="A22" t="str">
        <f>HR_CleanTable[[#This Row],[Employee ID]]</f>
        <v>E021</v>
      </c>
      <c r="B22" t="str">
        <f>HR_CleanTable[[#This Row],[Clean Employee Name]]</f>
        <v>Sneha</v>
      </c>
      <c r="C22" t="str">
        <f>HR_CleanTable[[#This Row],[Clean Department]]</f>
        <v>IT</v>
      </c>
      <c r="D22" t="str">
        <f>HR_CleanTable[[#This Row],[Month]]</f>
        <v>February</v>
      </c>
      <c r="E22">
        <f>HR_CleanTable[[#This Row],[Working Hours ]]</f>
        <v>0</v>
      </c>
      <c r="F22">
        <f>HR_CleanTable[[#This Row],[Overtime Hours]]</f>
        <v>0</v>
      </c>
      <c r="G22">
        <f>HR_CleanTable[[#This Row],[Tasks Completed]]</f>
        <v>0</v>
      </c>
      <c r="H22">
        <f>HR_CleanTable[[#This Row],[Target Task]]</f>
        <v>14</v>
      </c>
      <c r="I22">
        <f>HR_CleanTable[[#This Row],[Performance Score]]</f>
        <v>6</v>
      </c>
      <c r="J22" t="str">
        <f>HR_CleanTable[[#This Row],[Attendance Status]]</f>
        <v>Absent</v>
      </c>
      <c r="K22" s="4">
        <f>IFERROR(G22/Performance_Sheet[[#This Row],[Target Tasks]],0)</f>
        <v>0</v>
      </c>
      <c r="L22">
        <f t="shared" si="0"/>
        <v>0</v>
      </c>
      <c r="M22" t="str">
        <f t="shared" si="1"/>
        <v>Medium Performer</v>
      </c>
      <c r="N22">
        <f t="shared" si="2"/>
        <v>3.5999999999999996</v>
      </c>
      <c r="O22" t="str">
        <f t="shared" si="3"/>
        <v>Not Eligible</v>
      </c>
    </row>
    <row r="23" spans="1:15" x14ac:dyDescent="0.25">
      <c r="A23" t="str">
        <f>HR_CleanTable[[#This Row],[Employee ID]]</f>
        <v>E022</v>
      </c>
      <c r="B23" t="str">
        <f>HR_CleanTable[[#This Row],[Clean Employee Name]]</f>
        <v>Sneha</v>
      </c>
      <c r="C23" t="str">
        <f>HR_CleanTable[[#This Row],[Clean Department]]</f>
        <v>FINANCE</v>
      </c>
      <c r="D23" t="str">
        <f>HR_CleanTable[[#This Row],[Month]]</f>
        <v>February</v>
      </c>
      <c r="E23">
        <f>HR_CleanTable[[#This Row],[Working Hours ]]</f>
        <v>8</v>
      </c>
      <c r="F23">
        <f>HR_CleanTable[[#This Row],[Overtime Hours]]</f>
        <v>0</v>
      </c>
      <c r="G23">
        <f>HR_CleanTable[[#This Row],[Tasks Completed]]</f>
        <v>15</v>
      </c>
      <c r="H23">
        <f>HR_CleanTable[[#This Row],[Target Task]]</f>
        <v>20</v>
      </c>
      <c r="I23">
        <f>HR_CleanTable[[#This Row],[Performance Score]]</f>
        <v>8</v>
      </c>
      <c r="J23" t="str">
        <f>HR_CleanTable[[#This Row],[Attendance Status]]</f>
        <v>WFH</v>
      </c>
      <c r="K23" s="4">
        <f>IFERROR(G23/Performance_Sheet[[#This Row],[Target Tasks]],0)</f>
        <v>0.75</v>
      </c>
      <c r="L23">
        <f t="shared" si="0"/>
        <v>0</v>
      </c>
      <c r="M23" t="str">
        <f t="shared" si="1"/>
        <v>High Performer</v>
      </c>
      <c r="N23">
        <f t="shared" si="2"/>
        <v>4.8</v>
      </c>
      <c r="O23" t="str">
        <f t="shared" si="3"/>
        <v>Not Eligible</v>
      </c>
    </row>
    <row r="24" spans="1:15" x14ac:dyDescent="0.25">
      <c r="A24" t="str">
        <f>HR_CleanTable[[#This Row],[Employee ID]]</f>
        <v>E023</v>
      </c>
      <c r="B24" t="str">
        <f>HR_CleanTable[[#This Row],[Clean Employee Name]]</f>
        <v>Pooja</v>
      </c>
      <c r="C24" t="str">
        <f>HR_CleanTable[[#This Row],[Clean Department]]</f>
        <v>FINANCE</v>
      </c>
      <c r="D24" t="str">
        <f>HR_CleanTable[[#This Row],[Month]]</f>
        <v>February</v>
      </c>
      <c r="E24">
        <f>HR_CleanTable[[#This Row],[Working Hours ]]</f>
        <v>8</v>
      </c>
      <c r="F24">
        <f>HR_CleanTable[[#This Row],[Overtime Hours]]</f>
        <v>3</v>
      </c>
      <c r="G24">
        <f>HR_CleanTable[[#This Row],[Tasks Completed]]</f>
        <v>15</v>
      </c>
      <c r="H24">
        <f>HR_CleanTable[[#This Row],[Target Task]]</f>
        <v>19</v>
      </c>
      <c r="I24">
        <f>HR_CleanTable[[#This Row],[Performance Score]]</f>
        <v>8</v>
      </c>
      <c r="J24" t="str">
        <f>HR_CleanTable[[#This Row],[Attendance Status]]</f>
        <v>Present</v>
      </c>
      <c r="K24" s="4">
        <f>IFERROR(G24/Performance_Sheet[[#This Row],[Target Tasks]],0)</f>
        <v>0.78947368421052633</v>
      </c>
      <c r="L24">
        <f t="shared" si="0"/>
        <v>1</v>
      </c>
      <c r="M24" t="str">
        <f t="shared" si="1"/>
        <v>High Performer</v>
      </c>
      <c r="N24">
        <f t="shared" si="2"/>
        <v>5.2</v>
      </c>
      <c r="O24" t="str">
        <f t="shared" si="3"/>
        <v>Eligible</v>
      </c>
    </row>
    <row r="25" spans="1:15" x14ac:dyDescent="0.25">
      <c r="A25" t="str">
        <f>HR_CleanTable[[#This Row],[Employee ID]]</f>
        <v>E024</v>
      </c>
      <c r="B25" t="str">
        <f>HR_CleanTable[[#This Row],[Clean Employee Name]]</f>
        <v>Arjun</v>
      </c>
      <c r="C25" t="str">
        <f>HR_CleanTable[[#This Row],[Clean Department]]</f>
        <v>FINANCE</v>
      </c>
      <c r="D25" t="str">
        <f>HR_CleanTable[[#This Row],[Month]]</f>
        <v>February</v>
      </c>
      <c r="E25">
        <f>HR_CleanTable[[#This Row],[Working Hours ]]</f>
        <v>8</v>
      </c>
      <c r="F25">
        <f>HR_CleanTable[[#This Row],[Overtime Hours]]</f>
        <v>0</v>
      </c>
      <c r="G25">
        <f>HR_CleanTable[[#This Row],[Tasks Completed]]</f>
        <v>15</v>
      </c>
      <c r="H25">
        <f>HR_CleanTable[[#This Row],[Target Task]]</f>
        <v>18</v>
      </c>
      <c r="I25">
        <f>HR_CleanTable[[#This Row],[Performance Score]]</f>
        <v>8</v>
      </c>
      <c r="J25" t="str">
        <f>HR_CleanTable[[#This Row],[Attendance Status]]</f>
        <v>WFH</v>
      </c>
      <c r="K25" s="4">
        <f>IFERROR(G25/Performance_Sheet[[#This Row],[Target Tasks]],0)</f>
        <v>0.83333333333333337</v>
      </c>
      <c r="L25">
        <f t="shared" si="0"/>
        <v>0</v>
      </c>
      <c r="M25" t="str">
        <f t="shared" si="1"/>
        <v>High Performer</v>
      </c>
      <c r="N25">
        <f t="shared" si="2"/>
        <v>4.8</v>
      </c>
      <c r="O25" t="str">
        <f>IF(AND(I25&gt;=7,L25=1),"Eligible","Not Eligible")</f>
        <v>Not Eligible</v>
      </c>
    </row>
    <row r="26" spans="1:15" x14ac:dyDescent="0.25">
      <c r="A26" t="str">
        <f>HR_CleanTable[[#This Row],[Employee ID]]</f>
        <v>E025</v>
      </c>
      <c r="B26" t="str">
        <f>HR_CleanTable[[#This Row],[Clean Employee Name]]</f>
        <v>Kiran</v>
      </c>
      <c r="C26" t="str">
        <f>HR_CleanTable[[#This Row],[Clean Department]]</f>
        <v>FINANCE</v>
      </c>
      <c r="D26" t="str">
        <f>HR_CleanTable[[#This Row],[Month]]</f>
        <v>February</v>
      </c>
      <c r="E26">
        <f>HR_CleanTable[[#This Row],[Working Hours ]]</f>
        <v>8</v>
      </c>
      <c r="F26">
        <f>HR_CleanTable[[#This Row],[Overtime Hours]]</f>
        <v>2</v>
      </c>
      <c r="G26">
        <f>HR_CleanTable[[#This Row],[Tasks Completed]]</f>
        <v>6</v>
      </c>
      <c r="H26">
        <f>HR_CleanTable[[#This Row],[Target Task]]</f>
        <v>13</v>
      </c>
      <c r="I26">
        <f>HR_CleanTable[[#This Row],[Performance Score]]</f>
        <v>4</v>
      </c>
      <c r="J26" t="str">
        <f>HR_CleanTable[[#This Row],[Attendance Status]]</f>
        <v>Present</v>
      </c>
      <c r="K26" s="4">
        <f>IFERROR(G26/Performance_Sheet[[#This Row],[Target Tasks]],0)</f>
        <v>0.46153846153846156</v>
      </c>
      <c r="L26">
        <f t="shared" si="0"/>
        <v>1</v>
      </c>
      <c r="M26" t="str">
        <f t="shared" si="1"/>
        <v>Low Performer</v>
      </c>
      <c r="N26">
        <f t="shared" si="2"/>
        <v>2.8</v>
      </c>
      <c r="O26" t="str">
        <f t="shared" si="3"/>
        <v>Not Eligible</v>
      </c>
    </row>
    <row r="27" spans="1:15" x14ac:dyDescent="0.25">
      <c r="A27" t="str">
        <f>HR_CleanTable[[#This Row],[Employee ID]]</f>
        <v>E026</v>
      </c>
      <c r="B27" t="str">
        <f>HR_CleanTable[[#This Row],[Clean Employee Name]]</f>
        <v>Arjun</v>
      </c>
      <c r="C27" t="str">
        <f>HR_CleanTable[[#This Row],[Clean Department]]</f>
        <v>IT</v>
      </c>
      <c r="D27" t="str">
        <f>HR_CleanTable[[#This Row],[Month]]</f>
        <v>February</v>
      </c>
      <c r="E27">
        <f>HR_CleanTable[[#This Row],[Working Hours ]]</f>
        <v>8</v>
      </c>
      <c r="F27">
        <f>HR_CleanTable[[#This Row],[Overtime Hours]]</f>
        <v>0</v>
      </c>
      <c r="G27">
        <f>HR_CleanTable[[#This Row],[Tasks Completed]]</f>
        <v>15</v>
      </c>
      <c r="H27">
        <f>HR_CleanTable[[#This Row],[Target Task]]</f>
        <v>12</v>
      </c>
      <c r="I27">
        <f>HR_CleanTable[[#This Row],[Performance Score]]</f>
        <v>8</v>
      </c>
      <c r="J27" t="str">
        <f>HR_CleanTable[[#This Row],[Attendance Status]]</f>
        <v>WFH</v>
      </c>
      <c r="K27" s="4">
        <f>IFERROR(G27/Performance_Sheet[[#This Row],[Target Tasks]],0)</f>
        <v>1.25</v>
      </c>
      <c r="L27">
        <f t="shared" si="0"/>
        <v>0</v>
      </c>
      <c r="M27" t="str">
        <f t="shared" si="1"/>
        <v>High Performer</v>
      </c>
      <c r="N27">
        <f t="shared" si="2"/>
        <v>4.8</v>
      </c>
      <c r="O27" t="str">
        <f t="shared" si="3"/>
        <v>Not Eligible</v>
      </c>
    </row>
    <row r="28" spans="1:15" x14ac:dyDescent="0.25">
      <c r="A28" t="str">
        <f>HR_CleanTable[[#This Row],[Employee ID]]</f>
        <v>E027</v>
      </c>
      <c r="B28" t="str">
        <f>HR_CleanTable[[#This Row],[Clean Employee Name]]</f>
        <v>Arjun</v>
      </c>
      <c r="C28" t="str">
        <f>HR_CleanTable[[#This Row],[Clean Department]]</f>
        <v>IT</v>
      </c>
      <c r="D28" t="str">
        <f>HR_CleanTable[[#This Row],[Month]]</f>
        <v>February</v>
      </c>
      <c r="E28">
        <f>HR_CleanTable[[#This Row],[Working Hours ]]</f>
        <v>8</v>
      </c>
      <c r="F28">
        <f>HR_CleanTable[[#This Row],[Overtime Hours]]</f>
        <v>1</v>
      </c>
      <c r="G28">
        <f>HR_CleanTable[[#This Row],[Tasks Completed]]</f>
        <v>13</v>
      </c>
      <c r="H28">
        <f>HR_CleanTable[[#This Row],[Target Task]]</f>
        <v>18</v>
      </c>
      <c r="I28">
        <f>HR_CleanTable[[#This Row],[Performance Score]]</f>
        <v>10</v>
      </c>
      <c r="J28" t="str">
        <f>HR_CleanTable[[#This Row],[Attendance Status]]</f>
        <v>Present</v>
      </c>
      <c r="K28" s="4">
        <f>IFERROR(G28/Performance_Sheet[[#This Row],[Target Tasks]],0)</f>
        <v>0.72222222222222221</v>
      </c>
      <c r="L28">
        <f t="shared" si="0"/>
        <v>1</v>
      </c>
      <c r="M28" t="str">
        <f t="shared" si="1"/>
        <v>High Performer</v>
      </c>
      <c r="N28">
        <f t="shared" si="2"/>
        <v>6.4</v>
      </c>
      <c r="O28" t="str">
        <f t="shared" si="3"/>
        <v>Eligible</v>
      </c>
    </row>
    <row r="29" spans="1:15" x14ac:dyDescent="0.25">
      <c r="A29" t="str">
        <f>HR_CleanTable[[#This Row],[Employee ID]]</f>
        <v>E028</v>
      </c>
      <c r="B29" t="str">
        <f>HR_CleanTable[[#This Row],[Clean Employee Name]]</f>
        <v>Varun</v>
      </c>
      <c r="C29" t="str">
        <f>HR_CleanTable[[#This Row],[Clean Department]]</f>
        <v>IT</v>
      </c>
      <c r="D29" t="str">
        <f>HR_CleanTable[[#This Row],[Month]]</f>
        <v>February</v>
      </c>
      <c r="E29">
        <f>HR_CleanTable[[#This Row],[Working Hours ]]</f>
        <v>8</v>
      </c>
      <c r="F29">
        <f>HR_CleanTable[[#This Row],[Overtime Hours]]</f>
        <v>0</v>
      </c>
      <c r="G29">
        <f>HR_CleanTable[[#This Row],[Tasks Completed]]</f>
        <v>10</v>
      </c>
      <c r="H29">
        <f>HR_CleanTable[[#This Row],[Target Task]]</f>
        <v>19</v>
      </c>
      <c r="I29">
        <f>HR_CleanTable[[#This Row],[Performance Score]]</f>
        <v>9</v>
      </c>
      <c r="J29" t="str">
        <f>HR_CleanTable[[#This Row],[Attendance Status]]</f>
        <v>WFH</v>
      </c>
      <c r="K29" s="4">
        <f>IFERROR(G29/Performance_Sheet[[#This Row],[Target Tasks]],0)</f>
        <v>0.52631578947368418</v>
      </c>
      <c r="L29">
        <f t="shared" si="0"/>
        <v>0</v>
      </c>
      <c r="M29" t="str">
        <f t="shared" si="1"/>
        <v>High Performer</v>
      </c>
      <c r="N29">
        <f t="shared" si="2"/>
        <v>5.3999999999999995</v>
      </c>
      <c r="O29" t="str">
        <f t="shared" si="3"/>
        <v>Not Eligible</v>
      </c>
    </row>
    <row r="30" spans="1:15" x14ac:dyDescent="0.25">
      <c r="A30" t="str">
        <f>HR_CleanTable[[#This Row],[Employee ID]]</f>
        <v>E029</v>
      </c>
      <c r="B30" t="str">
        <f>HR_CleanTable[[#This Row],[Clean Employee Name]]</f>
        <v>Asha</v>
      </c>
      <c r="C30" t="str">
        <f>HR_CleanTable[[#This Row],[Clean Department]]</f>
        <v>IT</v>
      </c>
      <c r="D30" t="str">
        <f>HR_CleanTable[[#This Row],[Month]]</f>
        <v>February</v>
      </c>
      <c r="E30">
        <f>HR_CleanTable[[#This Row],[Working Hours ]]</f>
        <v>0</v>
      </c>
      <c r="F30">
        <f>HR_CleanTable[[#This Row],[Overtime Hours]]</f>
        <v>0</v>
      </c>
      <c r="G30">
        <f>HR_CleanTable[[#This Row],[Tasks Completed]]</f>
        <v>0</v>
      </c>
      <c r="H30">
        <f>HR_CleanTable[[#This Row],[Target Task]]</f>
        <v>12</v>
      </c>
      <c r="I30">
        <f>HR_CleanTable[[#This Row],[Performance Score]]</f>
        <v>8</v>
      </c>
      <c r="J30" t="str">
        <f>HR_CleanTable[[#This Row],[Attendance Status]]</f>
        <v>Leave</v>
      </c>
      <c r="K30" s="4">
        <f>IFERROR(G30/Performance_Sheet[[#This Row],[Target Tasks]],0)</f>
        <v>0</v>
      </c>
      <c r="L30">
        <f t="shared" si="0"/>
        <v>0</v>
      </c>
      <c r="M30" t="str">
        <f t="shared" si="1"/>
        <v>High Performer</v>
      </c>
      <c r="N30">
        <f t="shared" si="2"/>
        <v>4.8</v>
      </c>
      <c r="O30" t="str">
        <f t="shared" si="3"/>
        <v>Not Eligible</v>
      </c>
    </row>
    <row r="31" spans="1:15" x14ac:dyDescent="0.25">
      <c r="A31" t="str">
        <f>HR_CleanTable[[#This Row],[Employee ID]]</f>
        <v>E030</v>
      </c>
      <c r="B31" t="str">
        <f>HR_CleanTable[[#This Row],[Clean Employee Name]]</f>
        <v>Asha</v>
      </c>
      <c r="C31" t="str">
        <f>HR_CleanTable[[#This Row],[Clean Department]]</f>
        <v>HR</v>
      </c>
      <c r="D31" t="str">
        <f>HR_CleanTable[[#This Row],[Month]]</f>
        <v>February</v>
      </c>
      <c r="E31">
        <f>HR_CleanTable[[#This Row],[Working Hours ]]</f>
        <v>8</v>
      </c>
      <c r="F31">
        <f>HR_CleanTable[[#This Row],[Overtime Hours]]</f>
        <v>0</v>
      </c>
      <c r="G31">
        <f>HR_CleanTable[[#This Row],[Tasks Completed]]</f>
        <v>20</v>
      </c>
      <c r="H31">
        <f>HR_CleanTable[[#This Row],[Target Task]]</f>
        <v>19</v>
      </c>
      <c r="I31">
        <f>HR_CleanTable[[#This Row],[Performance Score]]</f>
        <v>5</v>
      </c>
      <c r="J31" t="str">
        <f>HR_CleanTable[[#This Row],[Attendance Status]]</f>
        <v>WFH</v>
      </c>
      <c r="K31" s="4">
        <f>IFERROR(G31/Performance_Sheet[[#This Row],[Target Tasks]],0)</f>
        <v>1.0526315789473684</v>
      </c>
      <c r="L31">
        <f t="shared" si="0"/>
        <v>0</v>
      </c>
      <c r="M31" t="str">
        <f t="shared" si="1"/>
        <v>Medium Performer</v>
      </c>
      <c r="N31">
        <f t="shared" si="2"/>
        <v>3</v>
      </c>
      <c r="O31" t="str">
        <f t="shared" si="3"/>
        <v>Not Eligible</v>
      </c>
    </row>
    <row r="32" spans="1:15" x14ac:dyDescent="0.25">
      <c r="A32" t="str">
        <f>HR_CleanTable[[#This Row],[Employee ID]]</f>
        <v>E031</v>
      </c>
      <c r="B32" t="str">
        <f>HR_CleanTable[[#This Row],[Clean Employee Name]]</f>
        <v>Rohit</v>
      </c>
      <c r="C32" t="str">
        <f>HR_CleanTable[[#This Row],[Clean Department]]</f>
        <v>FINANCE</v>
      </c>
      <c r="D32" t="str">
        <f>HR_CleanTable[[#This Row],[Month]]</f>
        <v>February</v>
      </c>
      <c r="E32">
        <f>HR_CleanTable[[#This Row],[Working Hours ]]</f>
        <v>8</v>
      </c>
      <c r="F32">
        <f>HR_CleanTable[[#This Row],[Overtime Hours]]</f>
        <v>0</v>
      </c>
      <c r="G32">
        <f>HR_CleanTable[[#This Row],[Tasks Completed]]</f>
        <v>12</v>
      </c>
      <c r="H32">
        <f>HR_CleanTable[[#This Row],[Target Task]]</f>
        <v>10</v>
      </c>
      <c r="I32">
        <f>HR_CleanTable[[#This Row],[Performance Score]]</f>
        <v>7</v>
      </c>
      <c r="J32" t="str">
        <f>HR_CleanTable[[#This Row],[Attendance Status]]</f>
        <v>WFH</v>
      </c>
      <c r="K32" s="4">
        <f>IFERROR(G32/Performance_Sheet[[#This Row],[Target Tasks]],0)</f>
        <v>1.2</v>
      </c>
      <c r="L32">
        <f t="shared" si="0"/>
        <v>0</v>
      </c>
      <c r="M32" t="str">
        <f t="shared" si="1"/>
        <v>Medium Performer</v>
      </c>
      <c r="N32">
        <f t="shared" si="2"/>
        <v>4.2</v>
      </c>
      <c r="O32" t="str">
        <f t="shared" si="3"/>
        <v>Not Eligible</v>
      </c>
    </row>
    <row r="33" spans="1:15" x14ac:dyDescent="0.25">
      <c r="A33" t="str">
        <f>HR_CleanTable[[#This Row],[Employee ID]]</f>
        <v>E032</v>
      </c>
      <c r="B33" t="str">
        <f>HR_CleanTable[[#This Row],[Clean Employee Name]]</f>
        <v>Pooja</v>
      </c>
      <c r="C33" t="str">
        <f>HR_CleanTable[[#This Row],[Clean Department]]</f>
        <v>IT</v>
      </c>
      <c r="D33" t="str">
        <f>HR_CleanTable[[#This Row],[Month]]</f>
        <v>February</v>
      </c>
      <c r="E33">
        <f>HR_CleanTable[[#This Row],[Working Hours ]]</f>
        <v>0</v>
      </c>
      <c r="F33">
        <f>HR_CleanTable[[#This Row],[Overtime Hours]]</f>
        <v>0</v>
      </c>
      <c r="G33">
        <f>HR_CleanTable[[#This Row],[Tasks Completed]]</f>
        <v>0</v>
      </c>
      <c r="H33">
        <f>HR_CleanTable[[#This Row],[Target Task]]</f>
        <v>13</v>
      </c>
      <c r="I33">
        <f>HR_CleanTable[[#This Row],[Performance Score]]</f>
        <v>5</v>
      </c>
      <c r="J33" t="str">
        <f>HR_CleanTable[[#This Row],[Attendance Status]]</f>
        <v>Leave</v>
      </c>
      <c r="K33" s="4">
        <f>IFERROR(G33/Performance_Sheet[[#This Row],[Target Tasks]],0)</f>
        <v>0</v>
      </c>
      <c r="L33">
        <f t="shared" si="0"/>
        <v>0</v>
      </c>
      <c r="M33" t="str">
        <f t="shared" si="1"/>
        <v>Medium Performer</v>
      </c>
      <c r="N33">
        <f t="shared" si="2"/>
        <v>3</v>
      </c>
      <c r="O33" t="str">
        <f t="shared" si="3"/>
        <v>Not Eligible</v>
      </c>
    </row>
    <row r="34" spans="1:15" x14ac:dyDescent="0.25">
      <c r="A34" t="str">
        <f>HR_CleanTable[[#This Row],[Employee ID]]</f>
        <v>E033</v>
      </c>
      <c r="B34" t="str">
        <f>HR_CleanTable[[#This Row],[Clean Employee Name]]</f>
        <v>Kiran</v>
      </c>
      <c r="C34" t="str">
        <f>HR_CleanTable[[#This Row],[Clean Department]]</f>
        <v>HR</v>
      </c>
      <c r="D34" t="str">
        <f>HR_CleanTable[[#This Row],[Month]]</f>
        <v>February</v>
      </c>
      <c r="E34">
        <f>HR_CleanTable[[#This Row],[Working Hours ]]</f>
        <v>8</v>
      </c>
      <c r="F34">
        <f>HR_CleanTable[[#This Row],[Overtime Hours]]</f>
        <v>1</v>
      </c>
      <c r="G34">
        <f>HR_CleanTable[[#This Row],[Tasks Completed]]</f>
        <v>15</v>
      </c>
      <c r="H34">
        <f>HR_CleanTable[[#This Row],[Target Task]]</f>
        <v>20</v>
      </c>
      <c r="I34">
        <f>HR_CleanTable[[#This Row],[Performance Score]]</f>
        <v>6</v>
      </c>
      <c r="J34" t="str">
        <f>HR_CleanTable[[#This Row],[Attendance Status]]</f>
        <v>Present</v>
      </c>
      <c r="K34" s="4">
        <f>IFERROR(G34/Performance_Sheet[[#This Row],[Target Tasks]],0)</f>
        <v>0.75</v>
      </c>
      <c r="L34">
        <f t="shared" ref="L34:L65" si="4">IF(J34="Present",1,0)</f>
        <v>1</v>
      </c>
      <c r="M34" t="str">
        <f t="shared" ref="M34:M65" si="5">IF(I34&gt;=8,"High Performer",IF(I34&gt;=5,"Medium Performer","Low Performer"))</f>
        <v>Medium Performer</v>
      </c>
      <c r="N34">
        <f t="shared" ref="N34:N65" si="6">(I34*0.6)+(L34*0.4)</f>
        <v>3.9999999999999996</v>
      </c>
      <c r="O34" t="str">
        <f t="shared" ref="O34:O65" si="7">IF(AND(I34&gt;=7,L34=1),"Eligible","Not Eligible")</f>
        <v>Not Eligible</v>
      </c>
    </row>
    <row r="35" spans="1:15" x14ac:dyDescent="0.25">
      <c r="A35" t="str">
        <f>HR_CleanTable[[#This Row],[Employee ID]]</f>
        <v>E034</v>
      </c>
      <c r="B35" t="str">
        <f>HR_CleanTable[[#This Row],[Clean Employee Name]]</f>
        <v>Priya</v>
      </c>
      <c r="C35" t="str">
        <f>HR_CleanTable[[#This Row],[Clean Department]]</f>
        <v>FINANCE</v>
      </c>
      <c r="D35" t="str">
        <f>HR_CleanTable[[#This Row],[Month]]</f>
        <v>February</v>
      </c>
      <c r="E35">
        <f>HR_CleanTable[[#This Row],[Working Hours ]]</f>
        <v>8</v>
      </c>
      <c r="F35">
        <f>HR_CleanTable[[#This Row],[Overtime Hours]]</f>
        <v>3</v>
      </c>
      <c r="G35">
        <f>HR_CleanTable[[#This Row],[Tasks Completed]]</f>
        <v>10</v>
      </c>
      <c r="H35">
        <f>HR_CleanTable[[#This Row],[Target Task]]</f>
        <v>13</v>
      </c>
      <c r="I35">
        <f>HR_CleanTable[[#This Row],[Performance Score]]</f>
        <v>4</v>
      </c>
      <c r="J35" t="str">
        <f>HR_CleanTable[[#This Row],[Attendance Status]]</f>
        <v>Present</v>
      </c>
      <c r="K35" s="4">
        <f>IFERROR(G35/Performance_Sheet[[#This Row],[Target Tasks]],0)</f>
        <v>0.76923076923076927</v>
      </c>
      <c r="L35">
        <f t="shared" si="4"/>
        <v>1</v>
      </c>
      <c r="M35" t="str">
        <f t="shared" si="5"/>
        <v>Low Performer</v>
      </c>
      <c r="N35">
        <f t="shared" si="6"/>
        <v>2.8</v>
      </c>
      <c r="O35" t="str">
        <f t="shared" si="7"/>
        <v>Not Eligible</v>
      </c>
    </row>
    <row r="36" spans="1:15" x14ac:dyDescent="0.25">
      <c r="A36" t="str">
        <f>HR_CleanTable[[#This Row],[Employee ID]]</f>
        <v>E035</v>
      </c>
      <c r="B36" t="str">
        <f>HR_CleanTable[[#This Row],[Clean Employee Name]]</f>
        <v>Sneha</v>
      </c>
      <c r="C36" t="str">
        <f>HR_CleanTable[[#This Row],[Clean Department]]</f>
        <v>IT</v>
      </c>
      <c r="D36" t="str">
        <f>HR_CleanTable[[#This Row],[Month]]</f>
        <v>February</v>
      </c>
      <c r="E36">
        <f>HR_CleanTable[[#This Row],[Working Hours ]]</f>
        <v>0</v>
      </c>
      <c r="F36">
        <f>HR_CleanTable[[#This Row],[Overtime Hours]]</f>
        <v>0</v>
      </c>
      <c r="G36">
        <f>HR_CleanTable[[#This Row],[Tasks Completed]]</f>
        <v>0</v>
      </c>
      <c r="H36">
        <f>HR_CleanTable[[#This Row],[Target Task]]</f>
        <v>15</v>
      </c>
      <c r="I36">
        <f>HR_CleanTable[[#This Row],[Performance Score]]</f>
        <v>6</v>
      </c>
      <c r="J36" t="str">
        <f>HR_CleanTable[[#This Row],[Attendance Status]]</f>
        <v>Leave</v>
      </c>
      <c r="K36" s="4">
        <f>IFERROR(G36/Performance_Sheet[[#This Row],[Target Tasks]],0)</f>
        <v>0</v>
      </c>
      <c r="L36">
        <f t="shared" si="4"/>
        <v>0</v>
      </c>
      <c r="M36" t="str">
        <f t="shared" si="5"/>
        <v>Medium Performer</v>
      </c>
      <c r="N36">
        <f t="shared" si="6"/>
        <v>3.5999999999999996</v>
      </c>
      <c r="O36" t="str">
        <f t="shared" si="7"/>
        <v>Not Eligible</v>
      </c>
    </row>
    <row r="37" spans="1:15" x14ac:dyDescent="0.25">
      <c r="A37" t="str">
        <f>HR_CleanTable[[#This Row],[Employee ID]]</f>
        <v>E036</v>
      </c>
      <c r="B37" t="str">
        <f>HR_CleanTable[[#This Row],[Clean Employee Name]]</f>
        <v>Varun</v>
      </c>
      <c r="C37" t="str">
        <f>HR_CleanTable[[#This Row],[Clean Department]]</f>
        <v>SALES</v>
      </c>
      <c r="D37" t="str">
        <f>HR_CleanTable[[#This Row],[Month]]</f>
        <v>February</v>
      </c>
      <c r="E37">
        <f>HR_CleanTable[[#This Row],[Working Hours ]]</f>
        <v>0</v>
      </c>
      <c r="F37">
        <f>HR_CleanTable[[#This Row],[Overtime Hours]]</f>
        <v>0</v>
      </c>
      <c r="G37">
        <f>HR_CleanTable[[#This Row],[Tasks Completed]]</f>
        <v>0</v>
      </c>
      <c r="H37">
        <f>HR_CleanTable[[#This Row],[Target Task]]</f>
        <v>16</v>
      </c>
      <c r="I37">
        <f>HR_CleanTable[[#This Row],[Performance Score]]</f>
        <v>7</v>
      </c>
      <c r="J37" t="str">
        <f>HR_CleanTable[[#This Row],[Attendance Status]]</f>
        <v>Leave</v>
      </c>
      <c r="K37" s="4">
        <f>IFERROR(G37/Performance_Sheet[[#This Row],[Target Tasks]],0)</f>
        <v>0</v>
      </c>
      <c r="L37">
        <f t="shared" si="4"/>
        <v>0</v>
      </c>
      <c r="M37" t="str">
        <f t="shared" si="5"/>
        <v>Medium Performer</v>
      </c>
      <c r="N37">
        <f t="shared" si="6"/>
        <v>4.2</v>
      </c>
      <c r="O37" t="str">
        <f t="shared" si="7"/>
        <v>Not Eligible</v>
      </c>
    </row>
    <row r="38" spans="1:15" x14ac:dyDescent="0.25">
      <c r="A38" t="str">
        <f>HR_CleanTable[[#This Row],[Employee ID]]</f>
        <v>E037</v>
      </c>
      <c r="B38" t="str">
        <f>HR_CleanTable[[#This Row],[Clean Employee Name]]</f>
        <v>Pooja</v>
      </c>
      <c r="C38" t="str">
        <f>HR_CleanTable[[#This Row],[Clean Department]]</f>
        <v>FINANCE</v>
      </c>
      <c r="D38" t="str">
        <f>HR_CleanTable[[#This Row],[Month]]</f>
        <v>February</v>
      </c>
      <c r="E38">
        <f>HR_CleanTable[[#This Row],[Working Hours ]]</f>
        <v>8</v>
      </c>
      <c r="F38">
        <f>HR_CleanTable[[#This Row],[Overtime Hours]]</f>
        <v>0</v>
      </c>
      <c r="G38">
        <f>HR_CleanTable[[#This Row],[Tasks Completed]]</f>
        <v>10</v>
      </c>
      <c r="H38">
        <f>HR_CleanTable[[#This Row],[Target Task]]</f>
        <v>13</v>
      </c>
      <c r="I38">
        <f>HR_CleanTable[[#This Row],[Performance Score]]</f>
        <v>4</v>
      </c>
      <c r="J38" t="str">
        <f>HR_CleanTable[[#This Row],[Attendance Status]]</f>
        <v>WFH</v>
      </c>
      <c r="K38" s="4">
        <f>IFERROR(G38/Performance_Sheet[[#This Row],[Target Tasks]],0)</f>
        <v>0.76923076923076927</v>
      </c>
      <c r="L38">
        <f t="shared" si="4"/>
        <v>0</v>
      </c>
      <c r="M38" t="str">
        <f t="shared" si="5"/>
        <v>Low Performer</v>
      </c>
      <c r="N38">
        <f t="shared" si="6"/>
        <v>2.4</v>
      </c>
      <c r="O38" t="str">
        <f t="shared" si="7"/>
        <v>Not Eligible</v>
      </c>
    </row>
    <row r="39" spans="1:15" x14ac:dyDescent="0.25">
      <c r="A39" t="str">
        <f>HR_CleanTable[[#This Row],[Employee ID]]</f>
        <v>E038</v>
      </c>
      <c r="B39" t="str">
        <f>HR_CleanTable[[#This Row],[Clean Employee Name]]</f>
        <v>Ravi</v>
      </c>
      <c r="C39" t="str">
        <f>HR_CleanTable[[#This Row],[Clean Department]]</f>
        <v>HR</v>
      </c>
      <c r="D39" t="str">
        <f>HR_CleanTable[[#This Row],[Month]]</f>
        <v>February</v>
      </c>
      <c r="E39">
        <f>HR_CleanTable[[#This Row],[Working Hours ]]</f>
        <v>8</v>
      </c>
      <c r="F39">
        <f>HR_CleanTable[[#This Row],[Overtime Hours]]</f>
        <v>0</v>
      </c>
      <c r="G39">
        <f>HR_CleanTable[[#This Row],[Tasks Completed]]</f>
        <v>5</v>
      </c>
      <c r="H39">
        <f>HR_CleanTable[[#This Row],[Target Task]]</f>
        <v>13</v>
      </c>
      <c r="I39">
        <f>HR_CleanTable[[#This Row],[Performance Score]]</f>
        <v>3</v>
      </c>
      <c r="J39" t="str">
        <f>HR_CleanTable[[#This Row],[Attendance Status]]</f>
        <v>WFH</v>
      </c>
      <c r="K39" s="4">
        <f>IFERROR(G39/Performance_Sheet[[#This Row],[Target Tasks]],0)</f>
        <v>0.38461538461538464</v>
      </c>
      <c r="L39">
        <f t="shared" si="4"/>
        <v>0</v>
      </c>
      <c r="M39" t="str">
        <f t="shared" si="5"/>
        <v>Low Performer</v>
      </c>
      <c r="N39">
        <f t="shared" si="6"/>
        <v>1.7999999999999998</v>
      </c>
      <c r="O39" t="str">
        <f t="shared" si="7"/>
        <v>Not Eligible</v>
      </c>
    </row>
    <row r="40" spans="1:15" x14ac:dyDescent="0.25">
      <c r="A40" t="str">
        <f>HR_CleanTable[[#This Row],[Employee ID]]</f>
        <v>E039</v>
      </c>
      <c r="B40" t="str">
        <f>HR_CleanTable[[#This Row],[Clean Employee Name]]</f>
        <v>Ravi</v>
      </c>
      <c r="C40" t="str">
        <f>HR_CleanTable[[#This Row],[Clean Department]]</f>
        <v>IT</v>
      </c>
      <c r="D40" t="str">
        <f>HR_CleanTable[[#This Row],[Month]]</f>
        <v>February</v>
      </c>
      <c r="E40">
        <f>HR_CleanTable[[#This Row],[Working Hours ]]</f>
        <v>8</v>
      </c>
      <c r="F40">
        <f>HR_CleanTable[[#This Row],[Overtime Hours]]</f>
        <v>3</v>
      </c>
      <c r="G40">
        <f>HR_CleanTable[[#This Row],[Tasks Completed]]</f>
        <v>18</v>
      </c>
      <c r="H40">
        <f>HR_CleanTable[[#This Row],[Target Task]]</f>
        <v>19</v>
      </c>
      <c r="I40">
        <f>HR_CleanTable[[#This Row],[Performance Score]]</f>
        <v>3</v>
      </c>
      <c r="J40" t="str">
        <f>HR_CleanTable[[#This Row],[Attendance Status]]</f>
        <v>Present</v>
      </c>
      <c r="K40" s="4">
        <f>IFERROR(G40/Performance_Sheet[[#This Row],[Target Tasks]],0)</f>
        <v>0.94736842105263153</v>
      </c>
      <c r="L40">
        <f t="shared" si="4"/>
        <v>1</v>
      </c>
      <c r="M40" t="str">
        <f t="shared" si="5"/>
        <v>Low Performer</v>
      </c>
      <c r="N40">
        <f t="shared" si="6"/>
        <v>2.1999999999999997</v>
      </c>
      <c r="O40" t="str">
        <f t="shared" si="7"/>
        <v>Not Eligible</v>
      </c>
    </row>
    <row r="41" spans="1:15" x14ac:dyDescent="0.25">
      <c r="A41" t="str">
        <f>HR_CleanTable[[#This Row],[Employee ID]]</f>
        <v>E040</v>
      </c>
      <c r="B41" t="str">
        <f>HR_CleanTable[[#This Row],[Clean Employee Name]]</f>
        <v>Sneha</v>
      </c>
      <c r="C41" t="str">
        <f>HR_CleanTable[[#This Row],[Clean Department]]</f>
        <v>SALES</v>
      </c>
      <c r="D41" t="str">
        <f>HR_CleanTable[[#This Row],[Month]]</f>
        <v>February</v>
      </c>
      <c r="E41">
        <f>HR_CleanTable[[#This Row],[Working Hours ]]</f>
        <v>8</v>
      </c>
      <c r="F41">
        <f>HR_CleanTable[[#This Row],[Overtime Hours]]</f>
        <v>0</v>
      </c>
      <c r="G41">
        <f>HR_CleanTable[[#This Row],[Tasks Completed]]</f>
        <v>7</v>
      </c>
      <c r="H41">
        <f>HR_CleanTable[[#This Row],[Target Task]]</f>
        <v>10</v>
      </c>
      <c r="I41">
        <f>HR_CleanTable[[#This Row],[Performance Score]]</f>
        <v>7</v>
      </c>
      <c r="J41" t="str">
        <f>HR_CleanTable[[#This Row],[Attendance Status]]</f>
        <v>WFH</v>
      </c>
      <c r="K41" s="4">
        <f>IFERROR(G41/Performance_Sheet[[#This Row],[Target Tasks]],0)</f>
        <v>0.7</v>
      </c>
      <c r="L41">
        <f t="shared" si="4"/>
        <v>0</v>
      </c>
      <c r="M41" t="str">
        <f t="shared" si="5"/>
        <v>Medium Performer</v>
      </c>
      <c r="N41">
        <f t="shared" si="6"/>
        <v>4.2</v>
      </c>
      <c r="O41" t="str">
        <f t="shared" si="7"/>
        <v>Not Eligible</v>
      </c>
    </row>
    <row r="42" spans="1:15" x14ac:dyDescent="0.25">
      <c r="A42" t="str">
        <f>HR_CleanTable[[#This Row],[Employee ID]]</f>
        <v>E041</v>
      </c>
      <c r="B42" t="str">
        <f>HR_CleanTable[[#This Row],[Clean Employee Name]]</f>
        <v>Priya</v>
      </c>
      <c r="C42" t="str">
        <f>HR_CleanTable[[#This Row],[Clean Department]]</f>
        <v>HR</v>
      </c>
      <c r="D42" t="str">
        <f>HR_CleanTable[[#This Row],[Month]]</f>
        <v>February</v>
      </c>
      <c r="E42">
        <f>HR_CleanTable[[#This Row],[Working Hours ]]</f>
        <v>8</v>
      </c>
      <c r="F42">
        <f>HR_CleanTable[[#This Row],[Overtime Hours]]</f>
        <v>0</v>
      </c>
      <c r="G42">
        <f>HR_CleanTable[[#This Row],[Tasks Completed]]</f>
        <v>13</v>
      </c>
      <c r="H42">
        <f>HR_CleanTable[[#This Row],[Target Task]]</f>
        <v>19</v>
      </c>
      <c r="I42">
        <f>HR_CleanTable[[#This Row],[Performance Score]]</f>
        <v>9</v>
      </c>
      <c r="J42" t="str">
        <f>HR_CleanTable[[#This Row],[Attendance Status]]</f>
        <v>WFH</v>
      </c>
      <c r="K42" s="4">
        <f>IFERROR(G42/Performance_Sheet[[#This Row],[Target Tasks]],0)</f>
        <v>0.68421052631578949</v>
      </c>
      <c r="L42">
        <f t="shared" si="4"/>
        <v>0</v>
      </c>
      <c r="M42" t="str">
        <f t="shared" si="5"/>
        <v>High Performer</v>
      </c>
      <c r="N42">
        <f t="shared" si="6"/>
        <v>5.3999999999999995</v>
      </c>
      <c r="O42" t="str">
        <f t="shared" si="7"/>
        <v>Not Eligible</v>
      </c>
    </row>
    <row r="43" spans="1:15" x14ac:dyDescent="0.25">
      <c r="A43" t="str">
        <f>HR_CleanTable[[#This Row],[Employee ID]]</f>
        <v>E042</v>
      </c>
      <c r="B43" t="str">
        <f>HR_CleanTable[[#This Row],[Clean Employee Name]]</f>
        <v>Sneha</v>
      </c>
      <c r="C43" t="str">
        <f>HR_CleanTable[[#This Row],[Clean Department]]</f>
        <v>HR</v>
      </c>
      <c r="D43" t="str">
        <f>HR_CleanTable[[#This Row],[Month]]</f>
        <v>February</v>
      </c>
      <c r="E43">
        <f>HR_CleanTable[[#This Row],[Working Hours ]]</f>
        <v>0</v>
      </c>
      <c r="F43">
        <f>HR_CleanTable[[#This Row],[Overtime Hours]]</f>
        <v>0</v>
      </c>
      <c r="G43">
        <f>HR_CleanTable[[#This Row],[Tasks Completed]]</f>
        <v>0</v>
      </c>
      <c r="H43">
        <f>HR_CleanTable[[#This Row],[Target Task]]</f>
        <v>12</v>
      </c>
      <c r="I43">
        <f>HR_CleanTable[[#This Row],[Performance Score]]</f>
        <v>7</v>
      </c>
      <c r="J43" t="str">
        <f>HR_CleanTable[[#This Row],[Attendance Status]]</f>
        <v>Leave</v>
      </c>
      <c r="K43" s="4">
        <f>IFERROR(G43/Performance_Sheet[[#This Row],[Target Tasks]],0)</f>
        <v>0</v>
      </c>
      <c r="L43">
        <f t="shared" si="4"/>
        <v>0</v>
      </c>
      <c r="M43" t="str">
        <f t="shared" si="5"/>
        <v>Medium Performer</v>
      </c>
      <c r="N43">
        <f t="shared" si="6"/>
        <v>4.2</v>
      </c>
      <c r="O43" t="str">
        <f t="shared" si="7"/>
        <v>Not Eligible</v>
      </c>
    </row>
    <row r="44" spans="1:15" x14ac:dyDescent="0.25">
      <c r="A44" t="str">
        <f>HR_CleanTable[[#This Row],[Employee ID]]</f>
        <v>E043</v>
      </c>
      <c r="B44" t="str">
        <f>HR_CleanTable[[#This Row],[Clean Employee Name]]</f>
        <v>Arjun</v>
      </c>
      <c r="C44" t="str">
        <f>HR_CleanTable[[#This Row],[Clean Department]]</f>
        <v>IT</v>
      </c>
      <c r="D44" t="str">
        <f>HR_CleanTable[[#This Row],[Month]]</f>
        <v>March</v>
      </c>
      <c r="E44">
        <f>HR_CleanTable[[#This Row],[Working Hours ]]</f>
        <v>0</v>
      </c>
      <c r="F44">
        <f>HR_CleanTable[[#This Row],[Overtime Hours]]</f>
        <v>0</v>
      </c>
      <c r="G44">
        <f>HR_CleanTable[[#This Row],[Tasks Completed]]</f>
        <v>0</v>
      </c>
      <c r="H44">
        <f>HR_CleanTable[[#This Row],[Target Task]]</f>
        <v>12</v>
      </c>
      <c r="I44">
        <f>HR_CleanTable[[#This Row],[Performance Score]]</f>
        <v>4</v>
      </c>
      <c r="J44" t="str">
        <f>HR_CleanTable[[#This Row],[Attendance Status]]</f>
        <v>Absent</v>
      </c>
      <c r="K44" s="4">
        <f>IFERROR(G44/Performance_Sheet[[#This Row],[Target Tasks]],0)</f>
        <v>0</v>
      </c>
      <c r="L44">
        <f t="shared" si="4"/>
        <v>0</v>
      </c>
      <c r="M44" t="str">
        <f t="shared" si="5"/>
        <v>Low Performer</v>
      </c>
      <c r="N44">
        <f t="shared" si="6"/>
        <v>2.4</v>
      </c>
      <c r="O44" t="str">
        <f t="shared" si="7"/>
        <v>Not Eligible</v>
      </c>
    </row>
    <row r="45" spans="1:15" x14ac:dyDescent="0.25">
      <c r="A45" t="str">
        <f>HR_CleanTable[[#This Row],[Employee ID]]</f>
        <v>E044</v>
      </c>
      <c r="B45" t="str">
        <f>HR_CleanTable[[#This Row],[Clean Employee Name]]</f>
        <v>Varun</v>
      </c>
      <c r="C45" t="str">
        <f>HR_CleanTable[[#This Row],[Clean Department]]</f>
        <v>HR</v>
      </c>
      <c r="D45" t="str">
        <f>HR_CleanTable[[#This Row],[Month]]</f>
        <v>March</v>
      </c>
      <c r="E45">
        <f>HR_CleanTable[[#This Row],[Working Hours ]]</f>
        <v>0</v>
      </c>
      <c r="F45">
        <f>HR_CleanTable[[#This Row],[Overtime Hours]]</f>
        <v>0</v>
      </c>
      <c r="G45">
        <f>HR_CleanTable[[#This Row],[Tasks Completed]]</f>
        <v>0</v>
      </c>
      <c r="H45">
        <f>HR_CleanTable[[#This Row],[Target Task]]</f>
        <v>15</v>
      </c>
      <c r="I45">
        <f>HR_CleanTable[[#This Row],[Performance Score]]</f>
        <v>3</v>
      </c>
      <c r="J45" t="str">
        <f>HR_CleanTable[[#This Row],[Attendance Status]]</f>
        <v>Leave</v>
      </c>
      <c r="K45" s="4">
        <f>IFERROR(G45/Performance_Sheet[[#This Row],[Target Tasks]],0)</f>
        <v>0</v>
      </c>
      <c r="L45">
        <f t="shared" si="4"/>
        <v>0</v>
      </c>
      <c r="M45" t="str">
        <f t="shared" si="5"/>
        <v>Low Performer</v>
      </c>
      <c r="N45">
        <f t="shared" si="6"/>
        <v>1.7999999999999998</v>
      </c>
      <c r="O45" t="str">
        <f t="shared" si="7"/>
        <v>Not Eligible</v>
      </c>
    </row>
    <row r="46" spans="1:15" x14ac:dyDescent="0.25">
      <c r="A46" t="str">
        <f>HR_CleanTable[[#This Row],[Employee ID]]</f>
        <v>E045</v>
      </c>
      <c r="B46" t="str">
        <f>HR_CleanTable[[#This Row],[Clean Employee Name]]</f>
        <v>Meena</v>
      </c>
      <c r="C46" t="str">
        <f>HR_CleanTable[[#This Row],[Clean Department]]</f>
        <v>FINANCE</v>
      </c>
      <c r="D46" t="str">
        <f>HR_CleanTable[[#This Row],[Month]]</f>
        <v>March</v>
      </c>
      <c r="E46">
        <f>HR_CleanTable[[#This Row],[Working Hours ]]</f>
        <v>0</v>
      </c>
      <c r="F46">
        <f>HR_CleanTable[[#This Row],[Overtime Hours]]</f>
        <v>0</v>
      </c>
      <c r="G46">
        <f>HR_CleanTable[[#This Row],[Tasks Completed]]</f>
        <v>0</v>
      </c>
      <c r="H46">
        <f>HR_CleanTable[[#This Row],[Target Task]]</f>
        <v>18</v>
      </c>
      <c r="I46">
        <f>HR_CleanTable[[#This Row],[Performance Score]]</f>
        <v>5</v>
      </c>
      <c r="J46" t="str">
        <f>HR_CleanTable[[#This Row],[Attendance Status]]</f>
        <v>Leave</v>
      </c>
      <c r="K46" s="4">
        <f>IFERROR(G46/Performance_Sheet[[#This Row],[Target Tasks]],0)</f>
        <v>0</v>
      </c>
      <c r="L46">
        <f t="shared" si="4"/>
        <v>0</v>
      </c>
      <c r="M46" t="str">
        <f t="shared" si="5"/>
        <v>Medium Performer</v>
      </c>
      <c r="N46">
        <f t="shared" si="6"/>
        <v>3</v>
      </c>
      <c r="O46" t="str">
        <f t="shared" si="7"/>
        <v>Not Eligible</v>
      </c>
    </row>
    <row r="47" spans="1:15" x14ac:dyDescent="0.25">
      <c r="A47" t="str">
        <f>HR_CleanTable[[#This Row],[Employee ID]]</f>
        <v>E046</v>
      </c>
      <c r="B47" t="str">
        <f>HR_CleanTable[[#This Row],[Clean Employee Name]]</f>
        <v>Rohit</v>
      </c>
      <c r="C47" t="str">
        <f>HR_CleanTable[[#This Row],[Clean Department]]</f>
        <v>FINANCE</v>
      </c>
      <c r="D47" t="str">
        <f>HR_CleanTable[[#This Row],[Month]]</f>
        <v>March</v>
      </c>
      <c r="E47">
        <f>HR_CleanTable[[#This Row],[Working Hours ]]</f>
        <v>0</v>
      </c>
      <c r="F47">
        <f>HR_CleanTable[[#This Row],[Overtime Hours]]</f>
        <v>0</v>
      </c>
      <c r="G47">
        <f>HR_CleanTable[[#This Row],[Tasks Completed]]</f>
        <v>0</v>
      </c>
      <c r="H47">
        <f>HR_CleanTable[[#This Row],[Target Task]]</f>
        <v>19</v>
      </c>
      <c r="I47">
        <f>HR_CleanTable[[#This Row],[Performance Score]]</f>
        <v>8</v>
      </c>
      <c r="J47" t="str">
        <f>HR_CleanTable[[#This Row],[Attendance Status]]</f>
        <v>Absent</v>
      </c>
      <c r="K47" s="4">
        <f>IFERROR(G47/Performance_Sheet[[#This Row],[Target Tasks]],0)</f>
        <v>0</v>
      </c>
      <c r="L47">
        <f t="shared" si="4"/>
        <v>0</v>
      </c>
      <c r="M47" t="str">
        <f t="shared" si="5"/>
        <v>High Performer</v>
      </c>
      <c r="N47">
        <f t="shared" si="6"/>
        <v>4.8</v>
      </c>
      <c r="O47" t="str">
        <f t="shared" si="7"/>
        <v>Not Eligible</v>
      </c>
    </row>
    <row r="48" spans="1:15" x14ac:dyDescent="0.25">
      <c r="A48" t="str">
        <f>HR_CleanTable[[#This Row],[Employee ID]]</f>
        <v>E047</v>
      </c>
      <c r="B48" t="str">
        <f>HR_CleanTable[[#This Row],[Clean Employee Name]]</f>
        <v>Rohit</v>
      </c>
      <c r="C48" t="str">
        <f>HR_CleanTable[[#This Row],[Clean Department]]</f>
        <v>HR</v>
      </c>
      <c r="D48" t="str">
        <f>HR_CleanTable[[#This Row],[Month]]</f>
        <v>March</v>
      </c>
      <c r="E48">
        <f>HR_CleanTable[[#This Row],[Working Hours ]]</f>
        <v>8</v>
      </c>
      <c r="F48">
        <f>HR_CleanTable[[#This Row],[Overtime Hours]]</f>
        <v>3</v>
      </c>
      <c r="G48">
        <f>HR_CleanTable[[#This Row],[Tasks Completed]]</f>
        <v>11</v>
      </c>
      <c r="H48">
        <f>HR_CleanTable[[#This Row],[Target Task]]</f>
        <v>20</v>
      </c>
      <c r="I48">
        <f>HR_CleanTable[[#This Row],[Performance Score]]</f>
        <v>8</v>
      </c>
      <c r="J48" t="str">
        <f>HR_CleanTable[[#This Row],[Attendance Status]]</f>
        <v>Present</v>
      </c>
      <c r="K48" s="4">
        <f>IFERROR(G48/Performance_Sheet[[#This Row],[Target Tasks]],0)</f>
        <v>0.55000000000000004</v>
      </c>
      <c r="L48">
        <f t="shared" si="4"/>
        <v>1</v>
      </c>
      <c r="M48" t="str">
        <f t="shared" si="5"/>
        <v>High Performer</v>
      </c>
      <c r="N48">
        <f t="shared" si="6"/>
        <v>5.2</v>
      </c>
      <c r="O48" t="str">
        <f t="shared" si="7"/>
        <v>Eligible</v>
      </c>
    </row>
    <row r="49" spans="1:15" x14ac:dyDescent="0.25">
      <c r="A49" t="str">
        <f>HR_CleanTable[[#This Row],[Employee ID]]</f>
        <v>E048</v>
      </c>
      <c r="B49" t="str">
        <f>HR_CleanTable[[#This Row],[Clean Employee Name]]</f>
        <v>Meena</v>
      </c>
      <c r="C49" t="str">
        <f>HR_CleanTable[[#This Row],[Clean Department]]</f>
        <v>FINANCE</v>
      </c>
      <c r="D49" t="str">
        <f>HR_CleanTable[[#This Row],[Month]]</f>
        <v>March</v>
      </c>
      <c r="E49">
        <f>HR_CleanTable[[#This Row],[Working Hours ]]</f>
        <v>0</v>
      </c>
      <c r="F49">
        <f>HR_CleanTable[[#This Row],[Overtime Hours]]</f>
        <v>0</v>
      </c>
      <c r="G49">
        <f>HR_CleanTable[[#This Row],[Tasks Completed]]</f>
        <v>0</v>
      </c>
      <c r="H49">
        <f>HR_CleanTable[[#This Row],[Target Task]]</f>
        <v>17</v>
      </c>
      <c r="I49">
        <f>HR_CleanTable[[#This Row],[Performance Score]]</f>
        <v>6</v>
      </c>
      <c r="J49" t="str">
        <f>HR_CleanTable[[#This Row],[Attendance Status]]</f>
        <v>Leave</v>
      </c>
      <c r="K49" s="4">
        <f>IFERROR(G49/Performance_Sheet[[#This Row],[Target Tasks]],0)</f>
        <v>0</v>
      </c>
      <c r="L49">
        <f t="shared" si="4"/>
        <v>0</v>
      </c>
      <c r="M49" t="str">
        <f t="shared" si="5"/>
        <v>Medium Performer</v>
      </c>
      <c r="N49">
        <f t="shared" si="6"/>
        <v>3.5999999999999996</v>
      </c>
      <c r="O49" t="str">
        <f t="shared" si="7"/>
        <v>Not Eligible</v>
      </c>
    </row>
    <row r="50" spans="1:15" x14ac:dyDescent="0.25">
      <c r="A50" t="str">
        <f>HR_CleanTable[[#This Row],[Employee ID]]</f>
        <v>E049</v>
      </c>
      <c r="B50" t="str">
        <f>HR_CleanTable[[#This Row],[Clean Employee Name]]</f>
        <v>Meena</v>
      </c>
      <c r="C50" t="str">
        <f>HR_CleanTable[[#This Row],[Clean Department]]</f>
        <v>SALES</v>
      </c>
      <c r="D50" t="str">
        <f>HR_CleanTable[[#This Row],[Month]]</f>
        <v>March</v>
      </c>
      <c r="E50">
        <f>HR_CleanTable[[#This Row],[Working Hours ]]</f>
        <v>8</v>
      </c>
      <c r="F50">
        <f>HR_CleanTable[[#This Row],[Overtime Hours]]</f>
        <v>0</v>
      </c>
      <c r="G50">
        <f>HR_CleanTable[[#This Row],[Tasks Completed]]</f>
        <v>18</v>
      </c>
      <c r="H50">
        <f>HR_CleanTable[[#This Row],[Target Task]]</f>
        <v>17</v>
      </c>
      <c r="I50">
        <f>HR_CleanTable[[#This Row],[Performance Score]]</f>
        <v>5</v>
      </c>
      <c r="J50" t="str">
        <f>HR_CleanTable[[#This Row],[Attendance Status]]</f>
        <v>Present</v>
      </c>
      <c r="K50" s="4">
        <f>IFERROR(G50/Performance_Sheet[[#This Row],[Target Tasks]],0)</f>
        <v>1.0588235294117647</v>
      </c>
      <c r="L50">
        <f t="shared" si="4"/>
        <v>1</v>
      </c>
      <c r="M50" t="str">
        <f t="shared" si="5"/>
        <v>Medium Performer</v>
      </c>
      <c r="N50">
        <f t="shared" si="6"/>
        <v>3.4</v>
      </c>
      <c r="O50" t="str">
        <f t="shared" si="7"/>
        <v>Not Eligible</v>
      </c>
    </row>
    <row r="51" spans="1:15" x14ac:dyDescent="0.25">
      <c r="A51" t="str">
        <f>HR_CleanTable[[#This Row],[Employee ID]]</f>
        <v>E050</v>
      </c>
      <c r="B51" t="str">
        <f>HR_CleanTable[[#This Row],[Clean Employee Name]]</f>
        <v>Pooja</v>
      </c>
      <c r="C51" t="str">
        <f>HR_CleanTable[[#This Row],[Clean Department]]</f>
        <v>IT</v>
      </c>
      <c r="D51" t="str">
        <f>HR_CleanTable[[#This Row],[Month]]</f>
        <v>March</v>
      </c>
      <c r="E51">
        <f>HR_CleanTable[[#This Row],[Working Hours ]]</f>
        <v>0</v>
      </c>
      <c r="F51">
        <f>HR_CleanTable[[#This Row],[Overtime Hours]]</f>
        <v>0</v>
      </c>
      <c r="G51">
        <f>HR_CleanTable[[#This Row],[Tasks Completed]]</f>
        <v>0</v>
      </c>
      <c r="H51">
        <f>HR_CleanTable[[#This Row],[Target Task]]</f>
        <v>19</v>
      </c>
      <c r="I51">
        <f>HR_CleanTable[[#This Row],[Performance Score]]</f>
        <v>3</v>
      </c>
      <c r="J51" t="str">
        <f>HR_CleanTable[[#This Row],[Attendance Status]]</f>
        <v>Leave</v>
      </c>
      <c r="K51" s="4">
        <f>IFERROR(G51/Performance_Sheet[[#This Row],[Target Tasks]],0)</f>
        <v>0</v>
      </c>
      <c r="L51">
        <f t="shared" si="4"/>
        <v>0</v>
      </c>
      <c r="M51" t="str">
        <f t="shared" si="5"/>
        <v>Low Performer</v>
      </c>
      <c r="N51">
        <f t="shared" si="6"/>
        <v>1.7999999999999998</v>
      </c>
      <c r="O51" t="str">
        <f t="shared" si="7"/>
        <v>Not Eligible</v>
      </c>
    </row>
    <row r="52" spans="1:15" x14ac:dyDescent="0.25">
      <c r="A52" t="str">
        <f>HR_CleanTable[[#This Row],[Employee ID]]</f>
        <v>E051</v>
      </c>
      <c r="B52" t="str">
        <f>HR_CleanTable[[#This Row],[Clean Employee Name]]</f>
        <v>Kiran</v>
      </c>
      <c r="C52" t="str">
        <f>HR_CleanTable[[#This Row],[Clean Department]]</f>
        <v>SALES</v>
      </c>
      <c r="D52" t="str">
        <f>HR_CleanTable[[#This Row],[Month]]</f>
        <v>March</v>
      </c>
      <c r="E52">
        <f>HR_CleanTable[[#This Row],[Working Hours ]]</f>
        <v>0</v>
      </c>
      <c r="F52">
        <f>HR_CleanTable[[#This Row],[Overtime Hours]]</f>
        <v>0</v>
      </c>
      <c r="G52">
        <f>HR_CleanTable[[#This Row],[Tasks Completed]]</f>
        <v>0</v>
      </c>
      <c r="H52">
        <f>HR_CleanTable[[#This Row],[Target Task]]</f>
        <v>18</v>
      </c>
      <c r="I52">
        <f>HR_CleanTable[[#This Row],[Performance Score]]</f>
        <v>6</v>
      </c>
      <c r="J52" t="str">
        <f>HR_CleanTable[[#This Row],[Attendance Status]]</f>
        <v>Leave</v>
      </c>
      <c r="K52" s="4">
        <f>IFERROR(G52/Performance_Sheet[[#This Row],[Target Tasks]],0)</f>
        <v>0</v>
      </c>
      <c r="L52">
        <f t="shared" si="4"/>
        <v>0</v>
      </c>
      <c r="M52" t="str">
        <f t="shared" si="5"/>
        <v>Medium Performer</v>
      </c>
      <c r="N52">
        <f t="shared" si="6"/>
        <v>3.5999999999999996</v>
      </c>
      <c r="O52" t="str">
        <f t="shared" si="7"/>
        <v>Not Eligible</v>
      </c>
    </row>
    <row r="53" spans="1:15" x14ac:dyDescent="0.25">
      <c r="A53" t="str">
        <f>HR_CleanTable[[#This Row],[Employee ID]]</f>
        <v>E052</v>
      </c>
      <c r="B53" t="str">
        <f>HR_CleanTable[[#This Row],[Clean Employee Name]]</f>
        <v>Ravi</v>
      </c>
      <c r="C53" t="str">
        <f>HR_CleanTable[[#This Row],[Clean Department]]</f>
        <v>FINANCE</v>
      </c>
      <c r="D53" t="str">
        <f>HR_CleanTable[[#This Row],[Month]]</f>
        <v>March</v>
      </c>
      <c r="E53">
        <f>HR_CleanTable[[#This Row],[Working Hours ]]</f>
        <v>0</v>
      </c>
      <c r="F53">
        <f>HR_CleanTable[[#This Row],[Overtime Hours]]</f>
        <v>0</v>
      </c>
      <c r="G53">
        <f>HR_CleanTable[[#This Row],[Tasks Completed]]</f>
        <v>0</v>
      </c>
      <c r="H53">
        <f>HR_CleanTable[[#This Row],[Target Task]]</f>
        <v>19</v>
      </c>
      <c r="I53">
        <f>HR_CleanTable[[#This Row],[Performance Score]]</f>
        <v>6</v>
      </c>
      <c r="J53" t="str">
        <f>HR_CleanTable[[#This Row],[Attendance Status]]</f>
        <v>Leave</v>
      </c>
      <c r="K53" s="4">
        <f>IFERROR(G53/Performance_Sheet[[#This Row],[Target Tasks]],0)</f>
        <v>0</v>
      </c>
      <c r="L53">
        <f t="shared" si="4"/>
        <v>0</v>
      </c>
      <c r="M53" t="str">
        <f t="shared" si="5"/>
        <v>Medium Performer</v>
      </c>
      <c r="N53">
        <f t="shared" si="6"/>
        <v>3.5999999999999996</v>
      </c>
      <c r="O53" t="str">
        <f t="shared" si="7"/>
        <v>Not Eligible</v>
      </c>
    </row>
    <row r="54" spans="1:15" x14ac:dyDescent="0.25">
      <c r="A54" t="str">
        <f>HR_CleanTable[[#This Row],[Employee ID]]</f>
        <v>E053</v>
      </c>
      <c r="B54" t="str">
        <f>HR_CleanTable[[#This Row],[Clean Employee Name]]</f>
        <v>Pooja</v>
      </c>
      <c r="C54" t="str">
        <f>HR_CleanTable[[#This Row],[Clean Department]]</f>
        <v>FINANCE</v>
      </c>
      <c r="D54" t="str">
        <f>HR_CleanTable[[#This Row],[Month]]</f>
        <v>March</v>
      </c>
      <c r="E54">
        <f>HR_CleanTable[[#This Row],[Working Hours ]]</f>
        <v>8</v>
      </c>
      <c r="F54">
        <f>HR_CleanTable[[#This Row],[Overtime Hours]]</f>
        <v>2</v>
      </c>
      <c r="G54">
        <f>HR_CleanTable[[#This Row],[Tasks Completed]]</f>
        <v>8</v>
      </c>
      <c r="H54">
        <f>HR_CleanTable[[#This Row],[Target Task]]</f>
        <v>11</v>
      </c>
      <c r="I54">
        <f>HR_CleanTable[[#This Row],[Performance Score]]</f>
        <v>8</v>
      </c>
      <c r="J54" t="str">
        <f>HR_CleanTable[[#This Row],[Attendance Status]]</f>
        <v>Present</v>
      </c>
      <c r="K54" s="4">
        <f>IFERROR(G54/Performance_Sheet[[#This Row],[Target Tasks]],0)</f>
        <v>0.72727272727272729</v>
      </c>
      <c r="L54">
        <f t="shared" si="4"/>
        <v>1</v>
      </c>
      <c r="M54" t="str">
        <f t="shared" si="5"/>
        <v>High Performer</v>
      </c>
      <c r="N54">
        <f t="shared" si="6"/>
        <v>5.2</v>
      </c>
      <c r="O54" t="str">
        <f t="shared" si="7"/>
        <v>Eligible</v>
      </c>
    </row>
    <row r="55" spans="1:15" x14ac:dyDescent="0.25">
      <c r="A55" t="str">
        <f>HR_CleanTable[[#This Row],[Employee ID]]</f>
        <v>E054</v>
      </c>
      <c r="B55" t="str">
        <f>HR_CleanTable[[#This Row],[Clean Employee Name]]</f>
        <v>Rohit</v>
      </c>
      <c r="C55" t="str">
        <f>HR_CleanTable[[#This Row],[Clean Department]]</f>
        <v>SALES</v>
      </c>
      <c r="D55" t="str">
        <f>HR_CleanTable[[#This Row],[Month]]</f>
        <v>March</v>
      </c>
      <c r="E55">
        <f>HR_CleanTable[[#This Row],[Working Hours ]]</f>
        <v>8</v>
      </c>
      <c r="F55">
        <f>HR_CleanTable[[#This Row],[Overtime Hours]]</f>
        <v>0</v>
      </c>
      <c r="G55">
        <f>HR_CleanTable[[#This Row],[Tasks Completed]]</f>
        <v>20</v>
      </c>
      <c r="H55">
        <f>HR_CleanTable[[#This Row],[Target Task]]</f>
        <v>18</v>
      </c>
      <c r="I55">
        <f>HR_CleanTable[[#This Row],[Performance Score]]</f>
        <v>5</v>
      </c>
      <c r="J55" t="str">
        <f>HR_CleanTable[[#This Row],[Attendance Status]]</f>
        <v>WFH</v>
      </c>
      <c r="K55" s="4">
        <f>IFERROR(G55/Performance_Sheet[[#This Row],[Target Tasks]],0)</f>
        <v>1.1111111111111112</v>
      </c>
      <c r="L55">
        <f t="shared" si="4"/>
        <v>0</v>
      </c>
      <c r="M55" t="str">
        <f t="shared" si="5"/>
        <v>Medium Performer</v>
      </c>
      <c r="N55">
        <f t="shared" si="6"/>
        <v>3</v>
      </c>
      <c r="O55" t="str">
        <f t="shared" si="7"/>
        <v>Not Eligible</v>
      </c>
    </row>
    <row r="56" spans="1:15" x14ac:dyDescent="0.25">
      <c r="A56" t="str">
        <f>HR_CleanTable[[#This Row],[Employee ID]]</f>
        <v>E055</v>
      </c>
      <c r="B56" t="str">
        <f>HR_CleanTable[[#This Row],[Clean Employee Name]]</f>
        <v>Varun</v>
      </c>
      <c r="C56" t="str">
        <f>HR_CleanTable[[#This Row],[Clean Department]]</f>
        <v>HR</v>
      </c>
      <c r="D56" t="str">
        <f>HR_CleanTable[[#This Row],[Month]]</f>
        <v>March</v>
      </c>
      <c r="E56">
        <f>HR_CleanTable[[#This Row],[Working Hours ]]</f>
        <v>0</v>
      </c>
      <c r="F56">
        <f>HR_CleanTable[[#This Row],[Overtime Hours]]</f>
        <v>0</v>
      </c>
      <c r="G56">
        <f>HR_CleanTable[[#This Row],[Tasks Completed]]</f>
        <v>0</v>
      </c>
      <c r="H56">
        <f>HR_CleanTable[[#This Row],[Target Task]]</f>
        <v>16</v>
      </c>
      <c r="I56">
        <f>HR_CleanTable[[#This Row],[Performance Score]]</f>
        <v>8</v>
      </c>
      <c r="J56" t="str">
        <f>HR_CleanTable[[#This Row],[Attendance Status]]</f>
        <v>Leave</v>
      </c>
      <c r="K56" s="4">
        <f>IFERROR(G56/Performance_Sheet[[#This Row],[Target Tasks]],0)</f>
        <v>0</v>
      </c>
      <c r="L56">
        <f t="shared" si="4"/>
        <v>0</v>
      </c>
      <c r="M56" t="str">
        <f t="shared" si="5"/>
        <v>High Performer</v>
      </c>
      <c r="N56">
        <f t="shared" si="6"/>
        <v>4.8</v>
      </c>
      <c r="O56" t="str">
        <f t="shared" si="7"/>
        <v>Not Eligible</v>
      </c>
    </row>
    <row r="57" spans="1:15" x14ac:dyDescent="0.25">
      <c r="A57" t="str">
        <f>HR_CleanTable[[#This Row],[Employee ID]]</f>
        <v>E056</v>
      </c>
      <c r="B57" t="str">
        <f>HR_CleanTable[[#This Row],[Clean Employee Name]]</f>
        <v>Rohit</v>
      </c>
      <c r="C57" t="str">
        <f>HR_CleanTable[[#This Row],[Clean Department]]</f>
        <v>IT</v>
      </c>
      <c r="D57" t="str">
        <f>HR_CleanTable[[#This Row],[Month]]</f>
        <v>March</v>
      </c>
      <c r="E57">
        <f>HR_CleanTable[[#This Row],[Working Hours ]]</f>
        <v>8</v>
      </c>
      <c r="F57">
        <f>HR_CleanTable[[#This Row],[Overtime Hours]]</f>
        <v>0</v>
      </c>
      <c r="G57">
        <f>HR_CleanTable[[#This Row],[Tasks Completed]]</f>
        <v>14</v>
      </c>
      <c r="H57">
        <f>HR_CleanTable[[#This Row],[Target Task]]</f>
        <v>17</v>
      </c>
      <c r="I57">
        <f>HR_CleanTable[[#This Row],[Performance Score]]</f>
        <v>4</v>
      </c>
      <c r="J57" t="str">
        <f>HR_CleanTable[[#This Row],[Attendance Status]]</f>
        <v>WFH</v>
      </c>
      <c r="K57" s="4">
        <f>IFERROR(G57/Performance_Sheet[[#This Row],[Target Tasks]],0)</f>
        <v>0.82352941176470584</v>
      </c>
      <c r="L57">
        <f t="shared" si="4"/>
        <v>0</v>
      </c>
      <c r="M57" t="str">
        <f t="shared" si="5"/>
        <v>Low Performer</v>
      </c>
      <c r="N57">
        <f t="shared" si="6"/>
        <v>2.4</v>
      </c>
      <c r="O57" t="str">
        <f t="shared" si="7"/>
        <v>Not Eligible</v>
      </c>
    </row>
    <row r="58" spans="1:15" x14ac:dyDescent="0.25">
      <c r="A58" t="str">
        <f>HR_CleanTable[[#This Row],[Employee ID]]</f>
        <v>E057</v>
      </c>
      <c r="B58" t="str">
        <f>HR_CleanTable[[#This Row],[Clean Employee Name]]</f>
        <v>Kiran</v>
      </c>
      <c r="C58" t="str">
        <f>HR_CleanTable[[#This Row],[Clean Department]]</f>
        <v>HR</v>
      </c>
      <c r="D58" t="str">
        <f>HR_CleanTable[[#This Row],[Month]]</f>
        <v>March</v>
      </c>
      <c r="E58">
        <f>HR_CleanTable[[#This Row],[Working Hours ]]</f>
        <v>8</v>
      </c>
      <c r="F58">
        <f>HR_CleanTable[[#This Row],[Overtime Hours]]</f>
        <v>0</v>
      </c>
      <c r="G58">
        <f>HR_CleanTable[[#This Row],[Tasks Completed]]</f>
        <v>13</v>
      </c>
      <c r="H58">
        <f>HR_CleanTable[[#This Row],[Target Task]]</f>
        <v>10</v>
      </c>
      <c r="I58">
        <f>HR_CleanTable[[#This Row],[Performance Score]]</f>
        <v>10</v>
      </c>
      <c r="J58" t="str">
        <f>HR_CleanTable[[#This Row],[Attendance Status]]</f>
        <v>WFH</v>
      </c>
      <c r="K58" s="4">
        <f>IFERROR(G58/Performance_Sheet[[#This Row],[Target Tasks]],0)</f>
        <v>1.3</v>
      </c>
      <c r="L58">
        <f t="shared" si="4"/>
        <v>0</v>
      </c>
      <c r="M58" t="str">
        <f t="shared" si="5"/>
        <v>High Performer</v>
      </c>
      <c r="N58">
        <f t="shared" si="6"/>
        <v>6</v>
      </c>
      <c r="O58" t="str">
        <f t="shared" si="7"/>
        <v>Not Eligible</v>
      </c>
    </row>
    <row r="59" spans="1:15" x14ac:dyDescent="0.25">
      <c r="A59" t="str">
        <f>HR_CleanTable[[#This Row],[Employee ID]]</f>
        <v>E058</v>
      </c>
      <c r="B59" t="str">
        <f>HR_CleanTable[[#This Row],[Clean Employee Name]]</f>
        <v>Ravi</v>
      </c>
      <c r="C59" t="str">
        <f>HR_CleanTable[[#This Row],[Clean Department]]</f>
        <v>SALES</v>
      </c>
      <c r="D59" t="str">
        <f>HR_CleanTable[[#This Row],[Month]]</f>
        <v>March</v>
      </c>
      <c r="E59">
        <f>HR_CleanTable[[#This Row],[Working Hours ]]</f>
        <v>0</v>
      </c>
      <c r="F59">
        <f>HR_CleanTable[[#This Row],[Overtime Hours]]</f>
        <v>0</v>
      </c>
      <c r="G59">
        <f>HR_CleanTable[[#This Row],[Tasks Completed]]</f>
        <v>0</v>
      </c>
      <c r="H59">
        <f>HR_CleanTable[[#This Row],[Target Task]]</f>
        <v>17</v>
      </c>
      <c r="I59">
        <f>HR_CleanTable[[#This Row],[Performance Score]]</f>
        <v>7</v>
      </c>
      <c r="J59" t="str">
        <f>HR_CleanTable[[#This Row],[Attendance Status]]</f>
        <v>Leave</v>
      </c>
      <c r="K59" s="4">
        <f>IFERROR(G59/Performance_Sheet[[#This Row],[Target Tasks]],0)</f>
        <v>0</v>
      </c>
      <c r="L59">
        <f t="shared" si="4"/>
        <v>0</v>
      </c>
      <c r="M59" t="str">
        <f t="shared" si="5"/>
        <v>Medium Performer</v>
      </c>
      <c r="N59">
        <f t="shared" si="6"/>
        <v>4.2</v>
      </c>
      <c r="O59" t="str">
        <f t="shared" si="7"/>
        <v>Not Eligible</v>
      </c>
    </row>
    <row r="60" spans="1:15" x14ac:dyDescent="0.25">
      <c r="A60" t="str">
        <f>HR_CleanTable[[#This Row],[Employee ID]]</f>
        <v>E059</v>
      </c>
      <c r="B60" t="str">
        <f>HR_CleanTable[[#This Row],[Clean Employee Name]]</f>
        <v>Kiran</v>
      </c>
      <c r="C60" t="str">
        <f>HR_CleanTable[[#This Row],[Clean Department]]</f>
        <v>IT</v>
      </c>
      <c r="D60" t="str">
        <f>HR_CleanTable[[#This Row],[Month]]</f>
        <v>March</v>
      </c>
      <c r="E60">
        <f>HR_CleanTable[[#This Row],[Working Hours ]]</f>
        <v>8</v>
      </c>
      <c r="F60">
        <f>HR_CleanTable[[#This Row],[Overtime Hours]]</f>
        <v>0</v>
      </c>
      <c r="G60">
        <f>HR_CleanTable[[#This Row],[Tasks Completed]]</f>
        <v>8</v>
      </c>
      <c r="H60">
        <f>HR_CleanTable[[#This Row],[Target Task]]</f>
        <v>17</v>
      </c>
      <c r="I60">
        <f>HR_CleanTable[[#This Row],[Performance Score]]</f>
        <v>10</v>
      </c>
      <c r="J60" t="str">
        <f>HR_CleanTable[[#This Row],[Attendance Status]]</f>
        <v>WFH</v>
      </c>
      <c r="K60" s="4">
        <f>IFERROR(G60/Performance_Sheet[[#This Row],[Target Tasks]],0)</f>
        <v>0.47058823529411764</v>
      </c>
      <c r="L60">
        <f t="shared" si="4"/>
        <v>0</v>
      </c>
      <c r="M60" t="str">
        <f t="shared" si="5"/>
        <v>High Performer</v>
      </c>
      <c r="N60">
        <f t="shared" si="6"/>
        <v>6</v>
      </c>
      <c r="O60" t="str">
        <f t="shared" si="7"/>
        <v>Not Eligible</v>
      </c>
    </row>
    <row r="61" spans="1:15" x14ac:dyDescent="0.25">
      <c r="A61" t="str">
        <f>HR_CleanTable[[#This Row],[Employee ID]]</f>
        <v>E060</v>
      </c>
      <c r="B61" t="str">
        <f>HR_CleanTable[[#This Row],[Clean Employee Name]]</f>
        <v>Priya</v>
      </c>
      <c r="C61" t="str">
        <f>HR_CleanTable[[#This Row],[Clean Department]]</f>
        <v>HR</v>
      </c>
      <c r="D61" t="str">
        <f>HR_CleanTable[[#This Row],[Month]]</f>
        <v>March</v>
      </c>
      <c r="E61">
        <f>HR_CleanTable[[#This Row],[Working Hours ]]</f>
        <v>0</v>
      </c>
      <c r="F61">
        <f>HR_CleanTable[[#This Row],[Overtime Hours]]</f>
        <v>0</v>
      </c>
      <c r="G61">
        <f>HR_CleanTable[[#This Row],[Tasks Completed]]</f>
        <v>0</v>
      </c>
      <c r="H61">
        <f>HR_CleanTable[[#This Row],[Target Task]]</f>
        <v>17</v>
      </c>
      <c r="I61">
        <f>HR_CleanTable[[#This Row],[Performance Score]]</f>
        <v>10</v>
      </c>
      <c r="J61" t="str">
        <f>HR_CleanTable[[#This Row],[Attendance Status]]</f>
        <v>Absent</v>
      </c>
      <c r="K61" s="4">
        <f>IFERROR(G61/Performance_Sheet[[#This Row],[Target Tasks]],0)</f>
        <v>0</v>
      </c>
      <c r="L61">
        <f t="shared" si="4"/>
        <v>0</v>
      </c>
      <c r="M61" t="str">
        <f t="shared" si="5"/>
        <v>High Performer</v>
      </c>
      <c r="N61">
        <f t="shared" si="6"/>
        <v>6</v>
      </c>
      <c r="O61" t="str">
        <f t="shared" si="7"/>
        <v>Not Eligible</v>
      </c>
    </row>
    <row r="62" spans="1:15" x14ac:dyDescent="0.25">
      <c r="A62" t="str">
        <f>HR_CleanTable[[#This Row],[Employee ID]]</f>
        <v>E061</v>
      </c>
      <c r="B62" t="str">
        <f>HR_CleanTable[[#This Row],[Clean Employee Name]]</f>
        <v>Sneha</v>
      </c>
      <c r="C62" t="str">
        <f>HR_CleanTable[[#This Row],[Clean Department]]</f>
        <v>HR</v>
      </c>
      <c r="D62" t="str">
        <f>HR_CleanTable[[#This Row],[Month]]</f>
        <v>March</v>
      </c>
      <c r="E62">
        <f>HR_CleanTable[[#This Row],[Working Hours ]]</f>
        <v>0</v>
      </c>
      <c r="F62">
        <f>HR_CleanTable[[#This Row],[Overtime Hours]]</f>
        <v>0</v>
      </c>
      <c r="G62">
        <f>HR_CleanTable[[#This Row],[Tasks Completed]]</f>
        <v>0</v>
      </c>
      <c r="H62">
        <f>HR_CleanTable[[#This Row],[Target Task]]</f>
        <v>16</v>
      </c>
      <c r="I62">
        <f>HR_CleanTable[[#This Row],[Performance Score]]</f>
        <v>9</v>
      </c>
      <c r="J62" t="str">
        <f>HR_CleanTable[[#This Row],[Attendance Status]]</f>
        <v>Leave</v>
      </c>
      <c r="K62" s="4">
        <f>IFERROR(G62/Performance_Sheet[[#This Row],[Target Tasks]],0)</f>
        <v>0</v>
      </c>
      <c r="L62">
        <f t="shared" si="4"/>
        <v>0</v>
      </c>
      <c r="M62" t="str">
        <f t="shared" si="5"/>
        <v>High Performer</v>
      </c>
      <c r="N62">
        <f t="shared" si="6"/>
        <v>5.3999999999999995</v>
      </c>
      <c r="O62" t="str">
        <f t="shared" si="7"/>
        <v>Not Eligible</v>
      </c>
    </row>
    <row r="63" spans="1:15" x14ac:dyDescent="0.25">
      <c r="A63" t="str">
        <f>HR_CleanTable[[#This Row],[Employee ID]]</f>
        <v>E062</v>
      </c>
      <c r="B63" t="str">
        <f>HR_CleanTable[[#This Row],[Clean Employee Name]]</f>
        <v>Kiran</v>
      </c>
      <c r="C63" t="str">
        <f>HR_CleanTable[[#This Row],[Clean Department]]</f>
        <v>IT</v>
      </c>
      <c r="D63" t="str">
        <f>HR_CleanTable[[#This Row],[Month]]</f>
        <v>March</v>
      </c>
      <c r="E63">
        <f>HR_CleanTable[[#This Row],[Working Hours ]]</f>
        <v>8</v>
      </c>
      <c r="F63">
        <f>HR_CleanTable[[#This Row],[Overtime Hours]]</f>
        <v>0</v>
      </c>
      <c r="G63">
        <f>HR_CleanTable[[#This Row],[Tasks Completed]]</f>
        <v>16</v>
      </c>
      <c r="H63">
        <f>HR_CleanTable[[#This Row],[Target Task]]</f>
        <v>13</v>
      </c>
      <c r="I63">
        <f>HR_CleanTable[[#This Row],[Performance Score]]</f>
        <v>7</v>
      </c>
      <c r="J63" t="str">
        <f>HR_CleanTable[[#This Row],[Attendance Status]]</f>
        <v>Present</v>
      </c>
      <c r="K63" s="4">
        <f>IFERROR(G63/Performance_Sheet[[#This Row],[Target Tasks]],0)</f>
        <v>1.2307692307692308</v>
      </c>
      <c r="L63">
        <f t="shared" si="4"/>
        <v>1</v>
      </c>
      <c r="M63" t="str">
        <f t="shared" si="5"/>
        <v>Medium Performer</v>
      </c>
      <c r="N63">
        <f t="shared" si="6"/>
        <v>4.6000000000000005</v>
      </c>
      <c r="O63" t="str">
        <f t="shared" si="7"/>
        <v>Eligible</v>
      </c>
    </row>
    <row r="64" spans="1:15" x14ac:dyDescent="0.25">
      <c r="A64" t="str">
        <f>HR_CleanTable[[#This Row],[Employee ID]]</f>
        <v>E063</v>
      </c>
      <c r="B64" t="str">
        <f>HR_CleanTable[[#This Row],[Clean Employee Name]]</f>
        <v>Rohit</v>
      </c>
      <c r="C64" t="str">
        <f>HR_CleanTable[[#This Row],[Clean Department]]</f>
        <v>HR</v>
      </c>
      <c r="D64" t="str">
        <f>HR_CleanTable[[#This Row],[Month]]</f>
        <v>March</v>
      </c>
      <c r="E64">
        <f>HR_CleanTable[[#This Row],[Working Hours ]]</f>
        <v>8</v>
      </c>
      <c r="F64">
        <f>HR_CleanTable[[#This Row],[Overtime Hours]]</f>
        <v>2</v>
      </c>
      <c r="G64">
        <f>HR_CleanTable[[#This Row],[Tasks Completed]]</f>
        <v>18</v>
      </c>
      <c r="H64">
        <f>HR_CleanTable[[#This Row],[Target Task]]</f>
        <v>11</v>
      </c>
      <c r="I64">
        <f>HR_CleanTable[[#This Row],[Performance Score]]</f>
        <v>9</v>
      </c>
      <c r="J64" t="str">
        <f>HR_CleanTable[[#This Row],[Attendance Status]]</f>
        <v>Present</v>
      </c>
      <c r="K64" s="4">
        <f>IFERROR(G64/Performance_Sheet[[#This Row],[Target Tasks]],0)</f>
        <v>1.6363636363636365</v>
      </c>
      <c r="L64">
        <f t="shared" si="4"/>
        <v>1</v>
      </c>
      <c r="M64" t="str">
        <f t="shared" si="5"/>
        <v>High Performer</v>
      </c>
      <c r="N64">
        <f t="shared" si="6"/>
        <v>5.8</v>
      </c>
      <c r="O64" t="str">
        <f t="shared" si="7"/>
        <v>Eligible</v>
      </c>
    </row>
    <row r="65" spans="1:15" x14ac:dyDescent="0.25">
      <c r="A65" t="str">
        <f>HR_CleanTable[[#This Row],[Employee ID]]</f>
        <v>E064</v>
      </c>
      <c r="B65" t="str">
        <f>HR_CleanTable[[#This Row],[Clean Employee Name]]</f>
        <v>Varun</v>
      </c>
      <c r="C65" t="str">
        <f>HR_CleanTable[[#This Row],[Clean Department]]</f>
        <v>FINANCE</v>
      </c>
      <c r="D65" t="str">
        <f>HR_CleanTable[[#This Row],[Month]]</f>
        <v>March</v>
      </c>
      <c r="E65">
        <f>HR_CleanTable[[#This Row],[Working Hours ]]</f>
        <v>0</v>
      </c>
      <c r="F65">
        <f>HR_CleanTable[[#This Row],[Overtime Hours]]</f>
        <v>0</v>
      </c>
      <c r="G65">
        <f>HR_CleanTable[[#This Row],[Tasks Completed]]</f>
        <v>0</v>
      </c>
      <c r="H65">
        <f>HR_CleanTable[[#This Row],[Target Task]]</f>
        <v>13</v>
      </c>
      <c r="I65">
        <f>HR_CleanTable[[#This Row],[Performance Score]]</f>
        <v>7</v>
      </c>
      <c r="J65" t="str">
        <f>HR_CleanTable[[#This Row],[Attendance Status]]</f>
        <v>Absent</v>
      </c>
      <c r="K65" s="4">
        <f>IFERROR(G65/Performance_Sheet[[#This Row],[Target Tasks]],0)</f>
        <v>0</v>
      </c>
      <c r="L65">
        <f t="shared" si="4"/>
        <v>0</v>
      </c>
      <c r="M65" t="str">
        <f t="shared" si="5"/>
        <v>Medium Performer</v>
      </c>
      <c r="N65">
        <f t="shared" si="6"/>
        <v>4.2</v>
      </c>
      <c r="O65" t="str">
        <f t="shared" si="7"/>
        <v>Not Eligible</v>
      </c>
    </row>
    <row r="66" spans="1:15" x14ac:dyDescent="0.25">
      <c r="A66" t="str">
        <f>HR_CleanTable[[#This Row],[Employee ID]]</f>
        <v>E065</v>
      </c>
      <c r="B66" t="str">
        <f>HR_CleanTable[[#This Row],[Clean Employee Name]]</f>
        <v>Varun</v>
      </c>
      <c r="C66" t="str">
        <f>HR_CleanTable[[#This Row],[Clean Department]]</f>
        <v>IT</v>
      </c>
      <c r="D66" t="str">
        <f>HR_CleanTable[[#This Row],[Month]]</f>
        <v>March</v>
      </c>
      <c r="E66">
        <f>HR_CleanTable[[#This Row],[Working Hours ]]</f>
        <v>0</v>
      </c>
      <c r="F66">
        <f>HR_CleanTable[[#This Row],[Overtime Hours]]</f>
        <v>0</v>
      </c>
      <c r="G66">
        <f>HR_CleanTable[[#This Row],[Tasks Completed]]</f>
        <v>0</v>
      </c>
      <c r="H66">
        <f>HR_CleanTable[[#This Row],[Target Task]]</f>
        <v>20</v>
      </c>
      <c r="I66">
        <f>HR_CleanTable[[#This Row],[Performance Score]]</f>
        <v>8</v>
      </c>
      <c r="J66" t="str">
        <f>HR_CleanTable[[#This Row],[Attendance Status]]</f>
        <v>Absent</v>
      </c>
      <c r="K66" s="4">
        <f>IFERROR(G66/Performance_Sheet[[#This Row],[Target Tasks]],0)</f>
        <v>0</v>
      </c>
      <c r="L66">
        <f t="shared" ref="L66:L101" si="8">IF(J66="Present",1,0)</f>
        <v>0</v>
      </c>
      <c r="M66" t="str">
        <f t="shared" ref="M66:M101" si="9">IF(I66&gt;=8,"High Performer",IF(I66&gt;=5,"Medium Performer","Low Performer"))</f>
        <v>High Performer</v>
      </c>
      <c r="N66">
        <f t="shared" ref="N66:N101" si="10">(I66*0.6)+(L66*0.4)</f>
        <v>4.8</v>
      </c>
      <c r="O66" t="str">
        <f t="shared" ref="O66:O101" si="11">IF(AND(I66&gt;=7,L66=1),"Eligible","Not Eligible")</f>
        <v>Not Eligible</v>
      </c>
    </row>
    <row r="67" spans="1:15" x14ac:dyDescent="0.25">
      <c r="A67" t="str">
        <f>HR_CleanTable[[#This Row],[Employee ID]]</f>
        <v>E066</v>
      </c>
      <c r="B67" t="str">
        <f>HR_CleanTable[[#This Row],[Clean Employee Name]]</f>
        <v>Kiran</v>
      </c>
      <c r="C67" t="str">
        <f>HR_CleanTable[[#This Row],[Clean Department]]</f>
        <v>IT</v>
      </c>
      <c r="D67" t="str">
        <f>HR_CleanTable[[#This Row],[Month]]</f>
        <v>March</v>
      </c>
      <c r="E67">
        <f>HR_CleanTable[[#This Row],[Working Hours ]]</f>
        <v>8</v>
      </c>
      <c r="F67">
        <f>HR_CleanTable[[#This Row],[Overtime Hours]]</f>
        <v>1</v>
      </c>
      <c r="G67">
        <f>HR_CleanTable[[#This Row],[Tasks Completed]]</f>
        <v>7</v>
      </c>
      <c r="H67">
        <f>HR_CleanTable[[#This Row],[Target Task]]</f>
        <v>10</v>
      </c>
      <c r="I67">
        <f>HR_CleanTable[[#This Row],[Performance Score]]</f>
        <v>6</v>
      </c>
      <c r="J67" t="str">
        <f>HR_CleanTable[[#This Row],[Attendance Status]]</f>
        <v>Present</v>
      </c>
      <c r="K67" s="4">
        <f>IFERROR(G67/Performance_Sheet[[#This Row],[Target Tasks]],0)</f>
        <v>0.7</v>
      </c>
      <c r="L67">
        <f t="shared" si="8"/>
        <v>1</v>
      </c>
      <c r="M67" t="str">
        <f t="shared" si="9"/>
        <v>Medium Performer</v>
      </c>
      <c r="N67">
        <f t="shared" si="10"/>
        <v>3.9999999999999996</v>
      </c>
      <c r="O67" t="str">
        <f t="shared" si="11"/>
        <v>Not Eligible</v>
      </c>
    </row>
    <row r="68" spans="1:15" x14ac:dyDescent="0.25">
      <c r="A68" t="str">
        <f>HR_CleanTable[[#This Row],[Employee ID]]</f>
        <v>E067</v>
      </c>
      <c r="B68" t="str">
        <f>HR_CleanTable[[#This Row],[Clean Employee Name]]</f>
        <v>Priya</v>
      </c>
      <c r="C68" t="str">
        <f>HR_CleanTable[[#This Row],[Clean Department]]</f>
        <v>IT</v>
      </c>
      <c r="D68" t="str">
        <f>HR_CleanTable[[#This Row],[Month]]</f>
        <v>March</v>
      </c>
      <c r="E68">
        <f>HR_CleanTable[[#This Row],[Working Hours ]]</f>
        <v>8</v>
      </c>
      <c r="F68">
        <f>HR_CleanTable[[#This Row],[Overtime Hours]]</f>
        <v>1</v>
      </c>
      <c r="G68">
        <f>HR_CleanTable[[#This Row],[Tasks Completed]]</f>
        <v>15</v>
      </c>
      <c r="H68">
        <f>HR_CleanTable[[#This Row],[Target Task]]</f>
        <v>20</v>
      </c>
      <c r="I68">
        <f>HR_CleanTable[[#This Row],[Performance Score]]</f>
        <v>8</v>
      </c>
      <c r="J68" t="str">
        <f>HR_CleanTable[[#This Row],[Attendance Status]]</f>
        <v>Present</v>
      </c>
      <c r="K68" s="4">
        <f>IFERROR(G68/Performance_Sheet[[#This Row],[Target Tasks]],0)</f>
        <v>0.75</v>
      </c>
      <c r="L68">
        <f t="shared" si="8"/>
        <v>1</v>
      </c>
      <c r="M68" t="str">
        <f t="shared" si="9"/>
        <v>High Performer</v>
      </c>
      <c r="N68">
        <f t="shared" si="10"/>
        <v>5.2</v>
      </c>
      <c r="O68" t="str">
        <f t="shared" si="11"/>
        <v>Eligible</v>
      </c>
    </row>
    <row r="69" spans="1:15" x14ac:dyDescent="0.25">
      <c r="A69" t="str">
        <f>HR_CleanTable[[#This Row],[Employee ID]]</f>
        <v>E068</v>
      </c>
      <c r="B69" t="str">
        <f>HR_CleanTable[[#This Row],[Clean Employee Name]]</f>
        <v>Meena</v>
      </c>
      <c r="C69" t="str">
        <f>HR_CleanTable[[#This Row],[Clean Department]]</f>
        <v>SALES</v>
      </c>
      <c r="D69" t="str">
        <f>HR_CleanTable[[#This Row],[Month]]</f>
        <v>March</v>
      </c>
      <c r="E69">
        <f>HR_CleanTable[[#This Row],[Working Hours ]]</f>
        <v>8</v>
      </c>
      <c r="F69">
        <f>HR_CleanTable[[#This Row],[Overtime Hours]]</f>
        <v>0</v>
      </c>
      <c r="G69">
        <f>HR_CleanTable[[#This Row],[Tasks Completed]]</f>
        <v>14</v>
      </c>
      <c r="H69">
        <f>HR_CleanTable[[#This Row],[Target Task]]</f>
        <v>18</v>
      </c>
      <c r="I69">
        <f>HR_CleanTable[[#This Row],[Performance Score]]</f>
        <v>7</v>
      </c>
      <c r="J69" t="str">
        <f>HR_CleanTable[[#This Row],[Attendance Status]]</f>
        <v>WFH</v>
      </c>
      <c r="K69" s="4">
        <f>IFERROR(G69/Performance_Sheet[[#This Row],[Target Tasks]],0)</f>
        <v>0.77777777777777779</v>
      </c>
      <c r="L69">
        <f t="shared" si="8"/>
        <v>0</v>
      </c>
      <c r="M69" t="str">
        <f t="shared" si="9"/>
        <v>Medium Performer</v>
      </c>
      <c r="N69">
        <f t="shared" si="10"/>
        <v>4.2</v>
      </c>
      <c r="O69" t="str">
        <f t="shared" si="11"/>
        <v>Not Eligible</v>
      </c>
    </row>
    <row r="70" spans="1:15" x14ac:dyDescent="0.25">
      <c r="A70" t="str">
        <f>HR_CleanTable[[#This Row],[Employee ID]]</f>
        <v>E069</v>
      </c>
      <c r="B70" t="str">
        <f>HR_CleanTable[[#This Row],[Clean Employee Name]]</f>
        <v>Varun</v>
      </c>
      <c r="C70" t="str">
        <f>HR_CleanTable[[#This Row],[Clean Department]]</f>
        <v>FINANCE</v>
      </c>
      <c r="D70" t="str">
        <f>HR_CleanTable[[#This Row],[Month]]</f>
        <v>March</v>
      </c>
      <c r="E70">
        <f>HR_CleanTable[[#This Row],[Working Hours ]]</f>
        <v>8</v>
      </c>
      <c r="F70">
        <f>HR_CleanTable[[#This Row],[Overtime Hours]]</f>
        <v>0</v>
      </c>
      <c r="G70">
        <f>HR_CleanTable[[#This Row],[Tasks Completed]]</f>
        <v>8</v>
      </c>
      <c r="H70">
        <f>HR_CleanTable[[#This Row],[Target Task]]</f>
        <v>13</v>
      </c>
      <c r="I70">
        <f>HR_CleanTable[[#This Row],[Performance Score]]</f>
        <v>8</v>
      </c>
      <c r="J70" t="str">
        <f>HR_CleanTable[[#This Row],[Attendance Status]]</f>
        <v>WFH</v>
      </c>
      <c r="K70" s="4">
        <f>IFERROR(G70/Performance_Sheet[[#This Row],[Target Tasks]],0)</f>
        <v>0.61538461538461542</v>
      </c>
      <c r="L70">
        <f t="shared" si="8"/>
        <v>0</v>
      </c>
      <c r="M70" t="str">
        <f t="shared" si="9"/>
        <v>High Performer</v>
      </c>
      <c r="N70">
        <f t="shared" si="10"/>
        <v>4.8</v>
      </c>
      <c r="O70" t="str">
        <f t="shared" si="11"/>
        <v>Not Eligible</v>
      </c>
    </row>
    <row r="71" spans="1:15" x14ac:dyDescent="0.25">
      <c r="A71" t="str">
        <f>HR_CleanTable[[#This Row],[Employee ID]]</f>
        <v>E070</v>
      </c>
      <c r="B71" t="str">
        <f>HR_CleanTable[[#This Row],[Clean Employee Name]]</f>
        <v>Pooja</v>
      </c>
      <c r="C71" t="str">
        <f>HR_CleanTable[[#This Row],[Clean Department]]</f>
        <v>SALES</v>
      </c>
      <c r="D71" t="str">
        <f>HR_CleanTable[[#This Row],[Month]]</f>
        <v>March</v>
      </c>
      <c r="E71">
        <f>HR_CleanTable[[#This Row],[Working Hours ]]</f>
        <v>8</v>
      </c>
      <c r="F71">
        <f>HR_CleanTable[[#This Row],[Overtime Hours]]</f>
        <v>0</v>
      </c>
      <c r="G71">
        <f>HR_CleanTable[[#This Row],[Tasks Completed]]</f>
        <v>18</v>
      </c>
      <c r="H71">
        <f>HR_CleanTable[[#This Row],[Target Task]]</f>
        <v>18</v>
      </c>
      <c r="I71">
        <f>HR_CleanTable[[#This Row],[Performance Score]]</f>
        <v>4</v>
      </c>
      <c r="J71" t="str">
        <f>HR_CleanTable[[#This Row],[Attendance Status]]</f>
        <v>Present</v>
      </c>
      <c r="K71" s="4">
        <f>IFERROR(G71/Performance_Sheet[[#This Row],[Target Tasks]],0)</f>
        <v>1</v>
      </c>
      <c r="L71">
        <f t="shared" si="8"/>
        <v>1</v>
      </c>
      <c r="M71" t="str">
        <f t="shared" si="9"/>
        <v>Low Performer</v>
      </c>
      <c r="N71">
        <f t="shared" si="10"/>
        <v>2.8</v>
      </c>
      <c r="O71" t="str">
        <f t="shared" si="11"/>
        <v>Not Eligible</v>
      </c>
    </row>
    <row r="72" spans="1:15" x14ac:dyDescent="0.25">
      <c r="A72" t="str">
        <f>HR_CleanTable[[#This Row],[Employee ID]]</f>
        <v>E071</v>
      </c>
      <c r="B72" t="str">
        <f>HR_CleanTable[[#This Row],[Clean Employee Name]]</f>
        <v>Meena</v>
      </c>
      <c r="C72" t="str">
        <f>HR_CleanTable[[#This Row],[Clean Department]]</f>
        <v>HR</v>
      </c>
      <c r="D72" t="str">
        <f>HR_CleanTable[[#This Row],[Month]]</f>
        <v>March</v>
      </c>
      <c r="E72">
        <f>HR_CleanTable[[#This Row],[Working Hours ]]</f>
        <v>0</v>
      </c>
      <c r="F72">
        <f>HR_CleanTable[[#This Row],[Overtime Hours]]</f>
        <v>0</v>
      </c>
      <c r="G72">
        <f>HR_CleanTable[[#This Row],[Tasks Completed]]</f>
        <v>0</v>
      </c>
      <c r="H72">
        <f>HR_CleanTable[[#This Row],[Target Task]]</f>
        <v>12</v>
      </c>
      <c r="I72">
        <f>HR_CleanTable[[#This Row],[Performance Score]]</f>
        <v>7</v>
      </c>
      <c r="J72" t="str">
        <f>HR_CleanTable[[#This Row],[Attendance Status]]</f>
        <v>Leave</v>
      </c>
      <c r="K72" s="4">
        <f>IFERROR(G72/Performance_Sheet[[#This Row],[Target Tasks]],0)</f>
        <v>0</v>
      </c>
      <c r="L72">
        <f t="shared" si="8"/>
        <v>0</v>
      </c>
      <c r="M72" t="str">
        <f t="shared" si="9"/>
        <v>Medium Performer</v>
      </c>
      <c r="N72">
        <f t="shared" si="10"/>
        <v>4.2</v>
      </c>
      <c r="O72" t="str">
        <f t="shared" si="11"/>
        <v>Not Eligible</v>
      </c>
    </row>
    <row r="73" spans="1:15" x14ac:dyDescent="0.25">
      <c r="A73" t="str">
        <f>HR_CleanTable[[#This Row],[Employee ID]]</f>
        <v>E072</v>
      </c>
      <c r="B73" t="str">
        <f>HR_CleanTable[[#This Row],[Clean Employee Name]]</f>
        <v>Pooja</v>
      </c>
      <c r="C73" t="str">
        <f>HR_CleanTable[[#This Row],[Clean Department]]</f>
        <v>FINANCE</v>
      </c>
      <c r="D73" t="str">
        <f>HR_CleanTable[[#This Row],[Month]]</f>
        <v>March</v>
      </c>
      <c r="E73">
        <f>HR_CleanTable[[#This Row],[Working Hours ]]</f>
        <v>8</v>
      </c>
      <c r="F73">
        <f>HR_CleanTable[[#This Row],[Overtime Hours]]</f>
        <v>1</v>
      </c>
      <c r="G73">
        <f>HR_CleanTable[[#This Row],[Tasks Completed]]</f>
        <v>5</v>
      </c>
      <c r="H73">
        <f>HR_CleanTable[[#This Row],[Target Task]]</f>
        <v>20</v>
      </c>
      <c r="I73">
        <f>HR_CleanTable[[#This Row],[Performance Score]]</f>
        <v>8</v>
      </c>
      <c r="J73" t="str">
        <f>HR_CleanTable[[#This Row],[Attendance Status]]</f>
        <v>Present</v>
      </c>
      <c r="K73" s="4">
        <f>IFERROR(G73/Performance_Sheet[[#This Row],[Target Tasks]],0)</f>
        <v>0.25</v>
      </c>
      <c r="L73">
        <f t="shared" si="8"/>
        <v>1</v>
      </c>
      <c r="M73" t="str">
        <f t="shared" si="9"/>
        <v>High Performer</v>
      </c>
      <c r="N73">
        <f t="shared" si="10"/>
        <v>5.2</v>
      </c>
      <c r="O73" t="str">
        <f t="shared" si="11"/>
        <v>Eligible</v>
      </c>
    </row>
    <row r="74" spans="1:15" x14ac:dyDescent="0.25">
      <c r="A74" t="str">
        <f>HR_CleanTable[[#This Row],[Employee ID]]</f>
        <v>E073</v>
      </c>
      <c r="B74" t="str">
        <f>HR_CleanTable[[#This Row],[Clean Employee Name]]</f>
        <v>Varun</v>
      </c>
      <c r="C74" t="str">
        <f>HR_CleanTable[[#This Row],[Clean Department]]</f>
        <v>SALES</v>
      </c>
      <c r="D74" t="str">
        <f>HR_CleanTable[[#This Row],[Month]]</f>
        <v>March</v>
      </c>
      <c r="E74">
        <f>HR_CleanTable[[#This Row],[Working Hours ]]</f>
        <v>0</v>
      </c>
      <c r="F74">
        <f>HR_CleanTable[[#This Row],[Overtime Hours]]</f>
        <v>0</v>
      </c>
      <c r="G74">
        <f>HR_CleanTable[[#This Row],[Tasks Completed]]</f>
        <v>0</v>
      </c>
      <c r="H74">
        <f>HR_CleanTable[[#This Row],[Target Task]]</f>
        <v>13</v>
      </c>
      <c r="I74">
        <f>HR_CleanTable[[#This Row],[Performance Score]]</f>
        <v>5</v>
      </c>
      <c r="J74" t="str">
        <f>HR_CleanTable[[#This Row],[Attendance Status]]</f>
        <v>Absent</v>
      </c>
      <c r="K74" s="4">
        <f>IFERROR(G74/Performance_Sheet[[#This Row],[Target Tasks]],0)</f>
        <v>0</v>
      </c>
      <c r="L74">
        <f t="shared" si="8"/>
        <v>0</v>
      </c>
      <c r="M74" t="str">
        <f t="shared" si="9"/>
        <v>Medium Performer</v>
      </c>
      <c r="N74">
        <f t="shared" si="10"/>
        <v>3</v>
      </c>
      <c r="O74" t="str">
        <f t="shared" si="11"/>
        <v>Not Eligible</v>
      </c>
    </row>
    <row r="75" spans="1:15" x14ac:dyDescent="0.25">
      <c r="A75" t="str">
        <f>HR_CleanTable[[#This Row],[Employee ID]]</f>
        <v>E074</v>
      </c>
      <c r="B75" t="str">
        <f>HR_CleanTable[[#This Row],[Clean Employee Name]]</f>
        <v>Varun</v>
      </c>
      <c r="C75" t="str">
        <f>HR_CleanTable[[#This Row],[Clean Department]]</f>
        <v>HR</v>
      </c>
      <c r="D75" t="str">
        <f>HR_CleanTable[[#This Row],[Month]]</f>
        <v>April</v>
      </c>
      <c r="E75">
        <f>HR_CleanTable[[#This Row],[Working Hours ]]</f>
        <v>8</v>
      </c>
      <c r="F75">
        <f>HR_CleanTable[[#This Row],[Overtime Hours]]</f>
        <v>1</v>
      </c>
      <c r="G75">
        <f>HR_CleanTable[[#This Row],[Tasks Completed]]</f>
        <v>8</v>
      </c>
      <c r="H75">
        <f>HR_CleanTable[[#This Row],[Target Task]]</f>
        <v>12</v>
      </c>
      <c r="I75">
        <f>HR_CleanTable[[#This Row],[Performance Score]]</f>
        <v>7</v>
      </c>
      <c r="J75" t="str">
        <f>HR_CleanTable[[#This Row],[Attendance Status]]</f>
        <v>Present</v>
      </c>
      <c r="K75" s="4">
        <f>IFERROR(G75/Performance_Sheet[[#This Row],[Target Tasks]],0)</f>
        <v>0.66666666666666663</v>
      </c>
      <c r="L75">
        <f t="shared" si="8"/>
        <v>1</v>
      </c>
      <c r="M75" t="str">
        <f t="shared" si="9"/>
        <v>Medium Performer</v>
      </c>
      <c r="N75">
        <f t="shared" si="10"/>
        <v>4.6000000000000005</v>
      </c>
      <c r="O75" t="str">
        <f t="shared" si="11"/>
        <v>Eligible</v>
      </c>
    </row>
    <row r="76" spans="1:15" x14ac:dyDescent="0.25">
      <c r="A76" t="str">
        <f>HR_CleanTable[[#This Row],[Employee ID]]</f>
        <v>E075</v>
      </c>
      <c r="B76" t="str">
        <f>HR_CleanTable[[#This Row],[Clean Employee Name]]</f>
        <v>Kiran</v>
      </c>
      <c r="C76" t="str">
        <f>HR_CleanTable[[#This Row],[Clean Department]]</f>
        <v>IT</v>
      </c>
      <c r="D76" t="str">
        <f>HR_CleanTable[[#This Row],[Month]]</f>
        <v>April</v>
      </c>
      <c r="E76">
        <f>HR_CleanTable[[#This Row],[Working Hours ]]</f>
        <v>8</v>
      </c>
      <c r="F76">
        <f>HR_CleanTable[[#This Row],[Overtime Hours]]</f>
        <v>0</v>
      </c>
      <c r="G76">
        <f>HR_CleanTable[[#This Row],[Tasks Completed]]</f>
        <v>20</v>
      </c>
      <c r="H76">
        <f>HR_CleanTable[[#This Row],[Target Task]]</f>
        <v>13</v>
      </c>
      <c r="I76">
        <f>HR_CleanTable[[#This Row],[Performance Score]]</f>
        <v>8</v>
      </c>
      <c r="J76" t="str">
        <f>HR_CleanTable[[#This Row],[Attendance Status]]</f>
        <v>WFH</v>
      </c>
      <c r="K76" s="4">
        <f>IFERROR(G76/Performance_Sheet[[#This Row],[Target Tasks]],0)</f>
        <v>1.5384615384615385</v>
      </c>
      <c r="L76">
        <f t="shared" si="8"/>
        <v>0</v>
      </c>
      <c r="M76" t="str">
        <f t="shared" si="9"/>
        <v>High Performer</v>
      </c>
      <c r="N76">
        <f t="shared" si="10"/>
        <v>4.8</v>
      </c>
      <c r="O76" t="str">
        <f t="shared" si="11"/>
        <v>Not Eligible</v>
      </c>
    </row>
    <row r="77" spans="1:15" x14ac:dyDescent="0.25">
      <c r="A77" t="str">
        <f>HR_CleanTable[[#This Row],[Employee ID]]</f>
        <v>E076</v>
      </c>
      <c r="B77" t="str">
        <f>HR_CleanTable[[#This Row],[Clean Employee Name]]</f>
        <v>Priya</v>
      </c>
      <c r="C77" t="str">
        <f>HR_CleanTable[[#This Row],[Clean Department]]</f>
        <v>IT</v>
      </c>
      <c r="D77" t="str">
        <f>HR_CleanTable[[#This Row],[Month]]</f>
        <v>April</v>
      </c>
      <c r="E77">
        <f>HR_CleanTable[[#This Row],[Working Hours ]]</f>
        <v>0</v>
      </c>
      <c r="F77">
        <f>HR_CleanTable[[#This Row],[Overtime Hours]]</f>
        <v>0</v>
      </c>
      <c r="G77">
        <f>HR_CleanTable[[#This Row],[Tasks Completed]]</f>
        <v>0</v>
      </c>
      <c r="H77">
        <f>HR_CleanTable[[#This Row],[Target Task]]</f>
        <v>10</v>
      </c>
      <c r="I77">
        <f>HR_CleanTable[[#This Row],[Performance Score]]</f>
        <v>6</v>
      </c>
      <c r="J77" t="str">
        <f>HR_CleanTable[[#This Row],[Attendance Status]]</f>
        <v>Leave</v>
      </c>
      <c r="K77" s="4">
        <f>IFERROR(G77/Performance_Sheet[[#This Row],[Target Tasks]],0)</f>
        <v>0</v>
      </c>
      <c r="L77">
        <f t="shared" si="8"/>
        <v>0</v>
      </c>
      <c r="M77" t="str">
        <f t="shared" si="9"/>
        <v>Medium Performer</v>
      </c>
      <c r="N77">
        <f t="shared" si="10"/>
        <v>3.5999999999999996</v>
      </c>
      <c r="O77" t="str">
        <f t="shared" si="11"/>
        <v>Not Eligible</v>
      </c>
    </row>
    <row r="78" spans="1:15" x14ac:dyDescent="0.25">
      <c r="A78" t="str">
        <f>HR_CleanTable[[#This Row],[Employee ID]]</f>
        <v>E077</v>
      </c>
      <c r="B78" t="str">
        <f>HR_CleanTable[[#This Row],[Clean Employee Name]]</f>
        <v>Meena</v>
      </c>
      <c r="C78" t="str">
        <f>HR_CleanTable[[#This Row],[Clean Department]]</f>
        <v>HR</v>
      </c>
      <c r="D78" t="str">
        <f>HR_CleanTable[[#This Row],[Month]]</f>
        <v>April</v>
      </c>
      <c r="E78">
        <f>HR_CleanTable[[#This Row],[Working Hours ]]</f>
        <v>8</v>
      </c>
      <c r="F78">
        <f>HR_CleanTable[[#This Row],[Overtime Hours]]</f>
        <v>2</v>
      </c>
      <c r="G78">
        <f>HR_CleanTable[[#This Row],[Tasks Completed]]</f>
        <v>18</v>
      </c>
      <c r="H78">
        <f>HR_CleanTable[[#This Row],[Target Task]]</f>
        <v>10</v>
      </c>
      <c r="I78">
        <f>HR_CleanTable[[#This Row],[Performance Score]]</f>
        <v>3</v>
      </c>
      <c r="J78" t="str">
        <f>HR_CleanTable[[#This Row],[Attendance Status]]</f>
        <v>Present</v>
      </c>
      <c r="K78" s="4">
        <f>IFERROR(G78/Performance_Sheet[[#This Row],[Target Tasks]],0)</f>
        <v>1.8</v>
      </c>
      <c r="L78">
        <f t="shared" si="8"/>
        <v>1</v>
      </c>
      <c r="M78" t="str">
        <f t="shared" si="9"/>
        <v>Low Performer</v>
      </c>
      <c r="N78">
        <f t="shared" si="10"/>
        <v>2.1999999999999997</v>
      </c>
      <c r="O78" t="str">
        <f t="shared" si="11"/>
        <v>Not Eligible</v>
      </c>
    </row>
    <row r="79" spans="1:15" x14ac:dyDescent="0.25">
      <c r="A79" t="str">
        <f>HR_CleanTable[[#This Row],[Employee ID]]</f>
        <v>E078</v>
      </c>
      <c r="B79" t="str">
        <f>HR_CleanTable[[#This Row],[Clean Employee Name]]</f>
        <v>Sneha</v>
      </c>
      <c r="C79" t="str">
        <f>HR_CleanTable[[#This Row],[Clean Department]]</f>
        <v>HR</v>
      </c>
      <c r="D79" t="str">
        <f>HR_CleanTable[[#This Row],[Month]]</f>
        <v>April</v>
      </c>
      <c r="E79">
        <f>HR_CleanTable[[#This Row],[Working Hours ]]</f>
        <v>0</v>
      </c>
      <c r="F79">
        <f>HR_CleanTable[[#This Row],[Overtime Hours]]</f>
        <v>0</v>
      </c>
      <c r="G79">
        <f>HR_CleanTable[[#This Row],[Tasks Completed]]</f>
        <v>0</v>
      </c>
      <c r="H79">
        <f>HR_CleanTable[[#This Row],[Target Task]]</f>
        <v>16</v>
      </c>
      <c r="I79">
        <f>HR_CleanTable[[#This Row],[Performance Score]]</f>
        <v>7</v>
      </c>
      <c r="J79" t="str">
        <f>HR_CleanTable[[#This Row],[Attendance Status]]</f>
        <v>Absent</v>
      </c>
      <c r="K79" s="4">
        <f>IFERROR(G79/Performance_Sheet[[#This Row],[Target Tasks]],0)</f>
        <v>0</v>
      </c>
      <c r="L79">
        <f t="shared" si="8"/>
        <v>0</v>
      </c>
      <c r="M79" t="str">
        <f t="shared" si="9"/>
        <v>Medium Performer</v>
      </c>
      <c r="N79">
        <f t="shared" si="10"/>
        <v>4.2</v>
      </c>
      <c r="O79" t="str">
        <f t="shared" si="11"/>
        <v>Not Eligible</v>
      </c>
    </row>
    <row r="80" spans="1:15" x14ac:dyDescent="0.25">
      <c r="A80" t="str">
        <f>HR_CleanTable[[#This Row],[Employee ID]]</f>
        <v>E079</v>
      </c>
      <c r="B80" t="str">
        <f>HR_CleanTable[[#This Row],[Clean Employee Name]]</f>
        <v>Meena</v>
      </c>
      <c r="C80" t="str">
        <f>HR_CleanTable[[#This Row],[Clean Department]]</f>
        <v>HR</v>
      </c>
      <c r="D80" t="str">
        <f>HR_CleanTable[[#This Row],[Month]]</f>
        <v>April</v>
      </c>
      <c r="E80">
        <f>HR_CleanTable[[#This Row],[Working Hours ]]</f>
        <v>0</v>
      </c>
      <c r="F80">
        <f>HR_CleanTable[[#This Row],[Overtime Hours]]</f>
        <v>0</v>
      </c>
      <c r="G80">
        <f>HR_CleanTable[[#This Row],[Tasks Completed]]</f>
        <v>0</v>
      </c>
      <c r="H80">
        <f>HR_CleanTable[[#This Row],[Target Task]]</f>
        <v>16</v>
      </c>
      <c r="I80">
        <f>HR_CleanTable[[#This Row],[Performance Score]]</f>
        <v>8</v>
      </c>
      <c r="J80" t="str">
        <f>HR_CleanTable[[#This Row],[Attendance Status]]</f>
        <v>Absent</v>
      </c>
      <c r="K80" s="4">
        <f>IFERROR(G80/Performance_Sheet[[#This Row],[Target Tasks]],0)</f>
        <v>0</v>
      </c>
      <c r="L80">
        <f t="shared" si="8"/>
        <v>0</v>
      </c>
      <c r="M80" t="str">
        <f t="shared" si="9"/>
        <v>High Performer</v>
      </c>
      <c r="N80">
        <f t="shared" si="10"/>
        <v>4.8</v>
      </c>
      <c r="O80" t="str">
        <f t="shared" si="11"/>
        <v>Not Eligible</v>
      </c>
    </row>
    <row r="81" spans="1:15" x14ac:dyDescent="0.25">
      <c r="A81" t="str">
        <f>HR_CleanTable[[#This Row],[Employee ID]]</f>
        <v>E080</v>
      </c>
      <c r="B81" t="str">
        <f>HR_CleanTable[[#This Row],[Clean Employee Name]]</f>
        <v>Asha</v>
      </c>
      <c r="C81" t="str">
        <f>HR_CleanTable[[#This Row],[Clean Department]]</f>
        <v>SALES</v>
      </c>
      <c r="D81" t="str">
        <f>HR_CleanTable[[#This Row],[Month]]</f>
        <v>April</v>
      </c>
      <c r="E81">
        <f>HR_CleanTable[[#This Row],[Working Hours ]]</f>
        <v>8</v>
      </c>
      <c r="F81">
        <f>HR_CleanTable[[#This Row],[Overtime Hours]]</f>
        <v>0</v>
      </c>
      <c r="G81">
        <f>HR_CleanTable[[#This Row],[Tasks Completed]]</f>
        <v>7</v>
      </c>
      <c r="H81">
        <f>HR_CleanTable[[#This Row],[Target Task]]</f>
        <v>17</v>
      </c>
      <c r="I81">
        <f>HR_CleanTable[[#This Row],[Performance Score]]</f>
        <v>3</v>
      </c>
      <c r="J81" t="str">
        <f>HR_CleanTable[[#This Row],[Attendance Status]]</f>
        <v>WFH</v>
      </c>
      <c r="K81" s="4">
        <f>IFERROR(G81/Performance_Sheet[[#This Row],[Target Tasks]],0)</f>
        <v>0.41176470588235292</v>
      </c>
      <c r="L81">
        <f t="shared" si="8"/>
        <v>0</v>
      </c>
      <c r="M81" t="str">
        <f t="shared" si="9"/>
        <v>Low Performer</v>
      </c>
      <c r="N81">
        <f t="shared" si="10"/>
        <v>1.7999999999999998</v>
      </c>
      <c r="O81" t="str">
        <f t="shared" si="11"/>
        <v>Not Eligible</v>
      </c>
    </row>
    <row r="82" spans="1:15" x14ac:dyDescent="0.25">
      <c r="A82" t="str">
        <f>HR_CleanTable[[#This Row],[Employee ID]]</f>
        <v>E081</v>
      </c>
      <c r="B82" t="str">
        <f>HR_CleanTable[[#This Row],[Clean Employee Name]]</f>
        <v>Ravi</v>
      </c>
      <c r="C82" t="str">
        <f>HR_CleanTable[[#This Row],[Clean Department]]</f>
        <v>FINANCE</v>
      </c>
      <c r="D82" t="str">
        <f>HR_CleanTable[[#This Row],[Month]]</f>
        <v>April</v>
      </c>
      <c r="E82">
        <f>HR_CleanTable[[#This Row],[Working Hours ]]</f>
        <v>0</v>
      </c>
      <c r="F82">
        <f>HR_CleanTable[[#This Row],[Overtime Hours]]</f>
        <v>0</v>
      </c>
      <c r="G82">
        <f>HR_CleanTable[[#This Row],[Tasks Completed]]</f>
        <v>0</v>
      </c>
      <c r="H82">
        <f>HR_CleanTable[[#This Row],[Target Task]]</f>
        <v>10</v>
      </c>
      <c r="I82">
        <f>HR_CleanTable[[#This Row],[Performance Score]]</f>
        <v>3</v>
      </c>
      <c r="J82" t="str">
        <f>HR_CleanTable[[#This Row],[Attendance Status]]</f>
        <v>Absent</v>
      </c>
      <c r="K82" s="4">
        <f>IFERROR(G82/Performance_Sheet[[#This Row],[Target Tasks]],0)</f>
        <v>0</v>
      </c>
      <c r="L82">
        <f t="shared" si="8"/>
        <v>0</v>
      </c>
      <c r="M82" t="str">
        <f t="shared" si="9"/>
        <v>Low Performer</v>
      </c>
      <c r="N82">
        <f t="shared" si="10"/>
        <v>1.7999999999999998</v>
      </c>
      <c r="O82" t="str">
        <f t="shared" si="11"/>
        <v>Not Eligible</v>
      </c>
    </row>
    <row r="83" spans="1:15" x14ac:dyDescent="0.25">
      <c r="A83" t="str">
        <f>HR_CleanTable[[#This Row],[Employee ID]]</f>
        <v>E082</v>
      </c>
      <c r="B83" t="str">
        <f>HR_CleanTable[[#This Row],[Clean Employee Name]]</f>
        <v>Ravi</v>
      </c>
      <c r="C83" t="str">
        <f>HR_CleanTable[[#This Row],[Clean Department]]</f>
        <v>FINANCE</v>
      </c>
      <c r="D83" t="str">
        <f>HR_CleanTable[[#This Row],[Month]]</f>
        <v>April</v>
      </c>
      <c r="E83">
        <f>HR_CleanTable[[#This Row],[Working Hours ]]</f>
        <v>8</v>
      </c>
      <c r="F83">
        <f>HR_CleanTable[[#This Row],[Overtime Hours]]</f>
        <v>1</v>
      </c>
      <c r="G83">
        <f>HR_CleanTable[[#This Row],[Tasks Completed]]</f>
        <v>10</v>
      </c>
      <c r="H83">
        <f>HR_CleanTable[[#This Row],[Target Task]]</f>
        <v>19</v>
      </c>
      <c r="I83">
        <f>HR_CleanTable[[#This Row],[Performance Score]]</f>
        <v>5</v>
      </c>
      <c r="J83" t="str">
        <f>HR_CleanTable[[#This Row],[Attendance Status]]</f>
        <v>Present</v>
      </c>
      <c r="K83" s="4">
        <f>IFERROR(G83/Performance_Sheet[[#This Row],[Target Tasks]],0)</f>
        <v>0.52631578947368418</v>
      </c>
      <c r="L83">
        <f t="shared" si="8"/>
        <v>1</v>
      </c>
      <c r="M83" t="str">
        <f t="shared" si="9"/>
        <v>Medium Performer</v>
      </c>
      <c r="N83">
        <f t="shared" si="10"/>
        <v>3.4</v>
      </c>
      <c r="O83" t="str">
        <f t="shared" si="11"/>
        <v>Not Eligible</v>
      </c>
    </row>
    <row r="84" spans="1:15" x14ac:dyDescent="0.25">
      <c r="A84" t="str">
        <f>HR_CleanTable[[#This Row],[Employee ID]]</f>
        <v>E083</v>
      </c>
      <c r="B84" t="str">
        <f>HR_CleanTable[[#This Row],[Clean Employee Name]]</f>
        <v>Meena</v>
      </c>
      <c r="C84" t="str">
        <f>HR_CleanTable[[#This Row],[Clean Department]]</f>
        <v>HR</v>
      </c>
      <c r="D84" t="str">
        <f>HR_CleanTable[[#This Row],[Month]]</f>
        <v>April</v>
      </c>
      <c r="E84">
        <f>HR_CleanTable[[#This Row],[Working Hours ]]</f>
        <v>8</v>
      </c>
      <c r="F84">
        <f>HR_CleanTable[[#This Row],[Overtime Hours]]</f>
        <v>1</v>
      </c>
      <c r="G84">
        <f>HR_CleanTable[[#This Row],[Tasks Completed]]</f>
        <v>5</v>
      </c>
      <c r="H84">
        <f>HR_CleanTable[[#This Row],[Target Task]]</f>
        <v>15</v>
      </c>
      <c r="I84">
        <f>HR_CleanTable[[#This Row],[Performance Score]]</f>
        <v>5</v>
      </c>
      <c r="J84" t="str">
        <f>HR_CleanTable[[#This Row],[Attendance Status]]</f>
        <v>Present</v>
      </c>
      <c r="K84" s="4">
        <f>IFERROR(G84/Performance_Sheet[[#This Row],[Target Tasks]],0)</f>
        <v>0.33333333333333331</v>
      </c>
      <c r="L84">
        <f t="shared" si="8"/>
        <v>1</v>
      </c>
      <c r="M84" t="str">
        <f t="shared" si="9"/>
        <v>Medium Performer</v>
      </c>
      <c r="N84">
        <f t="shared" si="10"/>
        <v>3.4</v>
      </c>
      <c r="O84" t="str">
        <f t="shared" si="11"/>
        <v>Not Eligible</v>
      </c>
    </row>
    <row r="85" spans="1:15" x14ac:dyDescent="0.25">
      <c r="A85" t="str">
        <f>HR_CleanTable[[#This Row],[Employee ID]]</f>
        <v>E084</v>
      </c>
      <c r="B85" t="str">
        <f>HR_CleanTable[[#This Row],[Clean Employee Name]]</f>
        <v>Priya</v>
      </c>
      <c r="C85" t="str">
        <f>HR_CleanTable[[#This Row],[Clean Department]]</f>
        <v>IT</v>
      </c>
      <c r="D85" t="str">
        <f>HR_CleanTable[[#This Row],[Month]]</f>
        <v>April</v>
      </c>
      <c r="E85">
        <f>HR_CleanTable[[#This Row],[Working Hours ]]</f>
        <v>0</v>
      </c>
      <c r="F85">
        <f>HR_CleanTable[[#This Row],[Overtime Hours]]</f>
        <v>0</v>
      </c>
      <c r="G85">
        <f>HR_CleanTable[[#This Row],[Tasks Completed]]</f>
        <v>0</v>
      </c>
      <c r="H85">
        <f>HR_CleanTable[[#This Row],[Target Task]]</f>
        <v>10</v>
      </c>
      <c r="I85">
        <f>HR_CleanTable[[#This Row],[Performance Score]]</f>
        <v>4</v>
      </c>
      <c r="J85" t="str">
        <f>HR_CleanTable[[#This Row],[Attendance Status]]</f>
        <v>Absent</v>
      </c>
      <c r="K85" s="4">
        <f>IFERROR(G85/Performance_Sheet[[#This Row],[Target Tasks]],0)</f>
        <v>0</v>
      </c>
      <c r="L85">
        <f t="shared" si="8"/>
        <v>0</v>
      </c>
      <c r="M85" t="str">
        <f t="shared" si="9"/>
        <v>Low Performer</v>
      </c>
      <c r="N85">
        <f t="shared" si="10"/>
        <v>2.4</v>
      </c>
      <c r="O85" t="str">
        <f t="shared" si="11"/>
        <v>Not Eligible</v>
      </c>
    </row>
    <row r="86" spans="1:15" x14ac:dyDescent="0.25">
      <c r="A86" t="str">
        <f>HR_CleanTable[[#This Row],[Employee ID]]</f>
        <v>E085</v>
      </c>
      <c r="B86" t="str">
        <f>HR_CleanTable[[#This Row],[Clean Employee Name]]</f>
        <v>Kiran</v>
      </c>
      <c r="C86" t="str">
        <f>HR_CleanTable[[#This Row],[Clean Department]]</f>
        <v>FINANCE</v>
      </c>
      <c r="D86" t="str">
        <f>HR_CleanTable[[#This Row],[Month]]</f>
        <v>April</v>
      </c>
      <c r="E86">
        <f>HR_CleanTable[[#This Row],[Working Hours ]]</f>
        <v>0</v>
      </c>
      <c r="F86">
        <f>HR_CleanTable[[#This Row],[Overtime Hours]]</f>
        <v>0</v>
      </c>
      <c r="G86">
        <f>HR_CleanTable[[#This Row],[Tasks Completed]]</f>
        <v>0</v>
      </c>
      <c r="H86">
        <f>HR_CleanTable[[#This Row],[Target Task]]</f>
        <v>20</v>
      </c>
      <c r="I86">
        <f>HR_CleanTable[[#This Row],[Performance Score]]</f>
        <v>7</v>
      </c>
      <c r="J86" t="str">
        <f>HR_CleanTable[[#This Row],[Attendance Status]]</f>
        <v>Leave</v>
      </c>
      <c r="K86" s="4">
        <f>IFERROR(G86/Performance_Sheet[[#This Row],[Target Tasks]],0)</f>
        <v>0</v>
      </c>
      <c r="L86">
        <f t="shared" si="8"/>
        <v>0</v>
      </c>
      <c r="M86" t="str">
        <f t="shared" si="9"/>
        <v>Medium Performer</v>
      </c>
      <c r="N86">
        <f t="shared" si="10"/>
        <v>4.2</v>
      </c>
      <c r="O86" t="str">
        <f t="shared" si="11"/>
        <v>Not Eligible</v>
      </c>
    </row>
    <row r="87" spans="1:15" x14ac:dyDescent="0.25">
      <c r="A87" t="str">
        <f>HR_CleanTable[[#This Row],[Employee ID]]</f>
        <v>E086</v>
      </c>
      <c r="B87" t="str">
        <f>HR_CleanTable[[#This Row],[Clean Employee Name]]</f>
        <v>Asha</v>
      </c>
      <c r="C87" t="str">
        <f>HR_CleanTable[[#This Row],[Clean Department]]</f>
        <v>IT</v>
      </c>
      <c r="D87" t="str">
        <f>HR_CleanTable[[#This Row],[Month]]</f>
        <v>April</v>
      </c>
      <c r="E87">
        <f>HR_CleanTable[[#This Row],[Working Hours ]]</f>
        <v>0</v>
      </c>
      <c r="F87">
        <f>HR_CleanTable[[#This Row],[Overtime Hours]]</f>
        <v>0</v>
      </c>
      <c r="G87">
        <f>HR_CleanTable[[#This Row],[Tasks Completed]]</f>
        <v>0</v>
      </c>
      <c r="H87">
        <f>HR_CleanTable[[#This Row],[Target Task]]</f>
        <v>14</v>
      </c>
      <c r="I87">
        <f>HR_CleanTable[[#This Row],[Performance Score]]</f>
        <v>6</v>
      </c>
      <c r="J87" t="str">
        <f>HR_CleanTable[[#This Row],[Attendance Status]]</f>
        <v>Absent</v>
      </c>
      <c r="K87" s="4">
        <f>IFERROR(G87/Performance_Sheet[[#This Row],[Target Tasks]],0)</f>
        <v>0</v>
      </c>
      <c r="L87">
        <f t="shared" si="8"/>
        <v>0</v>
      </c>
      <c r="M87" t="str">
        <f t="shared" si="9"/>
        <v>Medium Performer</v>
      </c>
      <c r="N87">
        <f t="shared" si="10"/>
        <v>3.5999999999999996</v>
      </c>
      <c r="O87" t="str">
        <f t="shared" si="11"/>
        <v>Not Eligible</v>
      </c>
    </row>
    <row r="88" spans="1:15" x14ac:dyDescent="0.25">
      <c r="A88" t="str">
        <f>HR_CleanTable[[#This Row],[Employee ID]]</f>
        <v>E087</v>
      </c>
      <c r="B88" t="str">
        <f>HR_CleanTable[[#This Row],[Clean Employee Name]]</f>
        <v>Asha</v>
      </c>
      <c r="C88" t="str">
        <f>HR_CleanTable[[#This Row],[Clean Department]]</f>
        <v>HR</v>
      </c>
      <c r="D88" t="str">
        <f>HR_CleanTable[[#This Row],[Month]]</f>
        <v>April</v>
      </c>
      <c r="E88">
        <f>HR_CleanTable[[#This Row],[Working Hours ]]</f>
        <v>0</v>
      </c>
      <c r="F88">
        <f>HR_CleanTable[[#This Row],[Overtime Hours]]</f>
        <v>0</v>
      </c>
      <c r="G88">
        <f>HR_CleanTable[[#This Row],[Tasks Completed]]</f>
        <v>0</v>
      </c>
      <c r="H88">
        <f>HR_CleanTable[[#This Row],[Target Task]]</f>
        <v>13</v>
      </c>
      <c r="I88">
        <f>HR_CleanTable[[#This Row],[Performance Score]]</f>
        <v>9</v>
      </c>
      <c r="J88" t="str">
        <f>HR_CleanTable[[#This Row],[Attendance Status]]</f>
        <v>Absent</v>
      </c>
      <c r="K88" s="4">
        <f>IFERROR(G88/Performance_Sheet[[#This Row],[Target Tasks]],0)</f>
        <v>0</v>
      </c>
      <c r="L88">
        <f t="shared" si="8"/>
        <v>0</v>
      </c>
      <c r="M88" t="str">
        <f t="shared" si="9"/>
        <v>High Performer</v>
      </c>
      <c r="N88">
        <f t="shared" si="10"/>
        <v>5.3999999999999995</v>
      </c>
      <c r="O88" t="str">
        <f t="shared" si="11"/>
        <v>Not Eligible</v>
      </c>
    </row>
    <row r="89" spans="1:15" x14ac:dyDescent="0.25">
      <c r="A89" t="str">
        <f>HR_CleanTable[[#This Row],[Employee ID]]</f>
        <v>E088</v>
      </c>
      <c r="B89" t="str">
        <f>HR_CleanTable[[#This Row],[Clean Employee Name]]</f>
        <v>Varun</v>
      </c>
      <c r="C89" t="str">
        <f>HR_CleanTable[[#This Row],[Clean Department]]</f>
        <v>SALES</v>
      </c>
      <c r="D89" t="str">
        <f>HR_CleanTable[[#This Row],[Month]]</f>
        <v>April</v>
      </c>
      <c r="E89">
        <f>HR_CleanTable[[#This Row],[Working Hours ]]</f>
        <v>0</v>
      </c>
      <c r="F89">
        <f>HR_CleanTable[[#This Row],[Overtime Hours]]</f>
        <v>0</v>
      </c>
      <c r="G89">
        <f>HR_CleanTable[[#This Row],[Tasks Completed]]</f>
        <v>0</v>
      </c>
      <c r="H89">
        <f>HR_CleanTable[[#This Row],[Target Task]]</f>
        <v>19</v>
      </c>
      <c r="I89">
        <f>HR_CleanTable[[#This Row],[Performance Score]]</f>
        <v>5</v>
      </c>
      <c r="J89" t="str">
        <f>HR_CleanTable[[#This Row],[Attendance Status]]</f>
        <v>Absent</v>
      </c>
      <c r="K89" s="4">
        <f>IFERROR(G89/Performance_Sheet[[#This Row],[Target Tasks]],0)</f>
        <v>0</v>
      </c>
      <c r="L89">
        <f t="shared" si="8"/>
        <v>0</v>
      </c>
      <c r="M89" t="str">
        <f t="shared" si="9"/>
        <v>Medium Performer</v>
      </c>
      <c r="N89">
        <f t="shared" si="10"/>
        <v>3</v>
      </c>
      <c r="O89" t="str">
        <f t="shared" si="11"/>
        <v>Not Eligible</v>
      </c>
    </row>
    <row r="90" spans="1:15" x14ac:dyDescent="0.25">
      <c r="A90" t="str">
        <f>HR_CleanTable[[#This Row],[Employee ID]]</f>
        <v>E089</v>
      </c>
      <c r="B90" t="str">
        <f>HR_CleanTable[[#This Row],[Clean Employee Name]]</f>
        <v>Rohit</v>
      </c>
      <c r="C90" t="str">
        <f>HR_CleanTable[[#This Row],[Clean Department]]</f>
        <v>IT</v>
      </c>
      <c r="D90" t="str">
        <f>HR_CleanTable[[#This Row],[Month]]</f>
        <v>April</v>
      </c>
      <c r="E90">
        <f>HR_CleanTable[[#This Row],[Working Hours ]]</f>
        <v>0</v>
      </c>
      <c r="F90">
        <f>HR_CleanTable[[#This Row],[Overtime Hours]]</f>
        <v>0</v>
      </c>
      <c r="G90">
        <f>HR_CleanTable[[#This Row],[Tasks Completed]]</f>
        <v>0</v>
      </c>
      <c r="H90">
        <f>HR_CleanTable[[#This Row],[Target Task]]</f>
        <v>18</v>
      </c>
      <c r="I90">
        <f>HR_CleanTable[[#This Row],[Performance Score]]</f>
        <v>7</v>
      </c>
      <c r="J90" t="str">
        <f>HR_CleanTable[[#This Row],[Attendance Status]]</f>
        <v>Absent</v>
      </c>
      <c r="K90" s="4">
        <f>IFERROR(G90/Performance_Sheet[[#This Row],[Target Tasks]],0)</f>
        <v>0</v>
      </c>
      <c r="L90">
        <f t="shared" si="8"/>
        <v>0</v>
      </c>
      <c r="M90" t="str">
        <f t="shared" si="9"/>
        <v>Medium Performer</v>
      </c>
      <c r="N90">
        <f t="shared" si="10"/>
        <v>4.2</v>
      </c>
      <c r="O90" t="str">
        <f t="shared" si="11"/>
        <v>Not Eligible</v>
      </c>
    </row>
    <row r="91" spans="1:15" x14ac:dyDescent="0.25">
      <c r="A91" t="str">
        <f>HR_CleanTable[[#This Row],[Employee ID]]</f>
        <v>E090</v>
      </c>
      <c r="B91" t="str">
        <f>HR_CleanTable[[#This Row],[Clean Employee Name]]</f>
        <v>Arjun</v>
      </c>
      <c r="C91" t="str">
        <f>HR_CleanTable[[#This Row],[Clean Department]]</f>
        <v>IT</v>
      </c>
      <c r="D91" t="str">
        <f>HR_CleanTable[[#This Row],[Month]]</f>
        <v>April</v>
      </c>
      <c r="E91">
        <f>HR_CleanTable[[#This Row],[Working Hours ]]</f>
        <v>8</v>
      </c>
      <c r="F91">
        <f>HR_CleanTable[[#This Row],[Overtime Hours]]</f>
        <v>0</v>
      </c>
      <c r="G91">
        <f>HR_CleanTable[[#This Row],[Tasks Completed]]</f>
        <v>10</v>
      </c>
      <c r="H91">
        <f>HR_CleanTable[[#This Row],[Target Task]]</f>
        <v>13</v>
      </c>
      <c r="I91">
        <f>HR_CleanTable[[#This Row],[Performance Score]]</f>
        <v>5</v>
      </c>
      <c r="J91" t="str">
        <f>HR_CleanTable[[#This Row],[Attendance Status]]</f>
        <v>WFH</v>
      </c>
      <c r="K91" s="4">
        <f>IFERROR(G91/Performance_Sheet[[#This Row],[Target Tasks]],0)</f>
        <v>0.76923076923076927</v>
      </c>
      <c r="L91">
        <f t="shared" si="8"/>
        <v>0</v>
      </c>
      <c r="M91" t="str">
        <f t="shared" si="9"/>
        <v>Medium Performer</v>
      </c>
      <c r="N91">
        <f t="shared" si="10"/>
        <v>3</v>
      </c>
      <c r="O91" t="str">
        <f t="shared" si="11"/>
        <v>Not Eligible</v>
      </c>
    </row>
    <row r="92" spans="1:15" x14ac:dyDescent="0.25">
      <c r="A92" t="str">
        <f>HR_CleanTable[[#This Row],[Employee ID]]</f>
        <v>E091</v>
      </c>
      <c r="B92" t="str">
        <f>HR_CleanTable[[#This Row],[Clean Employee Name]]</f>
        <v>Varun</v>
      </c>
      <c r="C92" t="str">
        <f>HR_CleanTable[[#This Row],[Clean Department]]</f>
        <v>HR</v>
      </c>
      <c r="D92" t="str">
        <f>HR_CleanTable[[#This Row],[Month]]</f>
        <v>April</v>
      </c>
      <c r="E92">
        <f>HR_CleanTable[[#This Row],[Working Hours ]]</f>
        <v>0</v>
      </c>
      <c r="F92">
        <f>HR_CleanTable[[#This Row],[Overtime Hours]]</f>
        <v>0</v>
      </c>
      <c r="G92">
        <f>HR_CleanTable[[#This Row],[Tasks Completed]]</f>
        <v>0</v>
      </c>
      <c r="H92">
        <f>HR_CleanTable[[#This Row],[Target Task]]</f>
        <v>15</v>
      </c>
      <c r="I92">
        <f>HR_CleanTable[[#This Row],[Performance Score]]</f>
        <v>6</v>
      </c>
      <c r="J92" t="str">
        <f>HR_CleanTable[[#This Row],[Attendance Status]]</f>
        <v>Absent</v>
      </c>
      <c r="K92" s="4">
        <f>IFERROR(G92/Performance_Sheet[[#This Row],[Target Tasks]],0)</f>
        <v>0</v>
      </c>
      <c r="L92">
        <f t="shared" si="8"/>
        <v>0</v>
      </c>
      <c r="M92" t="str">
        <f t="shared" si="9"/>
        <v>Medium Performer</v>
      </c>
      <c r="N92">
        <f t="shared" si="10"/>
        <v>3.5999999999999996</v>
      </c>
      <c r="O92" t="str">
        <f t="shared" si="11"/>
        <v>Not Eligible</v>
      </c>
    </row>
    <row r="93" spans="1:15" x14ac:dyDescent="0.25">
      <c r="A93" t="str">
        <f>HR_CleanTable[[#This Row],[Employee ID]]</f>
        <v>E092</v>
      </c>
      <c r="B93" t="str">
        <f>HR_CleanTable[[#This Row],[Clean Employee Name]]</f>
        <v>Meena</v>
      </c>
      <c r="C93" t="str">
        <f>HR_CleanTable[[#This Row],[Clean Department]]</f>
        <v>IT</v>
      </c>
      <c r="D93" t="str">
        <f>HR_CleanTable[[#This Row],[Month]]</f>
        <v>April</v>
      </c>
      <c r="E93">
        <f>HR_CleanTable[[#This Row],[Working Hours ]]</f>
        <v>8</v>
      </c>
      <c r="F93">
        <f>HR_CleanTable[[#This Row],[Overtime Hours]]</f>
        <v>1</v>
      </c>
      <c r="G93">
        <f>HR_CleanTable[[#This Row],[Tasks Completed]]</f>
        <v>5</v>
      </c>
      <c r="H93">
        <f>HR_CleanTable[[#This Row],[Target Task]]</f>
        <v>15</v>
      </c>
      <c r="I93">
        <f>HR_CleanTable[[#This Row],[Performance Score]]</f>
        <v>7</v>
      </c>
      <c r="J93" t="str">
        <f>HR_CleanTable[[#This Row],[Attendance Status]]</f>
        <v>Present</v>
      </c>
      <c r="K93" s="4">
        <f>IFERROR(G93/Performance_Sheet[[#This Row],[Target Tasks]],0)</f>
        <v>0.33333333333333331</v>
      </c>
      <c r="L93">
        <f t="shared" si="8"/>
        <v>1</v>
      </c>
      <c r="M93" t="str">
        <f t="shared" si="9"/>
        <v>Medium Performer</v>
      </c>
      <c r="N93">
        <f t="shared" si="10"/>
        <v>4.6000000000000005</v>
      </c>
      <c r="O93" t="str">
        <f t="shared" si="11"/>
        <v>Eligible</v>
      </c>
    </row>
    <row r="94" spans="1:15" x14ac:dyDescent="0.25">
      <c r="A94" t="str">
        <f>HR_CleanTable[[#This Row],[Employee ID]]</f>
        <v>E093</v>
      </c>
      <c r="B94" t="str">
        <f>HR_CleanTable[[#This Row],[Clean Employee Name]]</f>
        <v>Sneha</v>
      </c>
      <c r="C94" t="str">
        <f>HR_CleanTable[[#This Row],[Clean Department]]</f>
        <v>HR</v>
      </c>
      <c r="D94" t="str">
        <f>HR_CleanTable[[#This Row],[Month]]</f>
        <v>April</v>
      </c>
      <c r="E94">
        <f>HR_CleanTable[[#This Row],[Working Hours ]]</f>
        <v>8</v>
      </c>
      <c r="F94">
        <f>HR_CleanTable[[#This Row],[Overtime Hours]]</f>
        <v>0</v>
      </c>
      <c r="G94">
        <f>HR_CleanTable[[#This Row],[Tasks Completed]]</f>
        <v>9</v>
      </c>
      <c r="H94">
        <f>HR_CleanTable[[#This Row],[Target Task]]</f>
        <v>17</v>
      </c>
      <c r="I94">
        <f>HR_CleanTable[[#This Row],[Performance Score]]</f>
        <v>6</v>
      </c>
      <c r="J94" t="str">
        <f>HR_CleanTable[[#This Row],[Attendance Status]]</f>
        <v>WFH</v>
      </c>
      <c r="K94" s="4">
        <f>IFERROR(G94/Performance_Sheet[[#This Row],[Target Tasks]],0)</f>
        <v>0.52941176470588236</v>
      </c>
      <c r="L94">
        <f t="shared" si="8"/>
        <v>0</v>
      </c>
      <c r="M94" t="str">
        <f t="shared" si="9"/>
        <v>Medium Performer</v>
      </c>
      <c r="N94">
        <f t="shared" si="10"/>
        <v>3.5999999999999996</v>
      </c>
      <c r="O94" t="str">
        <f t="shared" si="11"/>
        <v>Not Eligible</v>
      </c>
    </row>
    <row r="95" spans="1:15" x14ac:dyDescent="0.25">
      <c r="A95" t="str">
        <f>HR_CleanTable[[#This Row],[Employee ID]]</f>
        <v>E094</v>
      </c>
      <c r="B95" t="str">
        <f>HR_CleanTable[[#This Row],[Clean Employee Name]]</f>
        <v>Kiran</v>
      </c>
      <c r="C95" t="str">
        <f>HR_CleanTable[[#This Row],[Clean Department]]</f>
        <v>IT</v>
      </c>
      <c r="D95" t="str">
        <f>HR_CleanTable[[#This Row],[Month]]</f>
        <v>April</v>
      </c>
      <c r="E95">
        <f>HR_CleanTable[[#This Row],[Working Hours ]]</f>
        <v>8</v>
      </c>
      <c r="F95">
        <f>HR_CleanTable[[#This Row],[Overtime Hours]]</f>
        <v>0</v>
      </c>
      <c r="G95">
        <f>HR_CleanTable[[#This Row],[Tasks Completed]]</f>
        <v>15</v>
      </c>
      <c r="H95">
        <f>HR_CleanTable[[#This Row],[Target Task]]</f>
        <v>17</v>
      </c>
      <c r="I95">
        <f>HR_CleanTable[[#This Row],[Performance Score]]</f>
        <v>6</v>
      </c>
      <c r="J95" t="str">
        <f>HR_CleanTable[[#This Row],[Attendance Status]]</f>
        <v>WFH</v>
      </c>
      <c r="K95" s="4">
        <f>IFERROR(G95/Performance_Sheet[[#This Row],[Target Tasks]],0)</f>
        <v>0.88235294117647056</v>
      </c>
      <c r="L95">
        <f t="shared" si="8"/>
        <v>0</v>
      </c>
      <c r="M95" t="str">
        <f t="shared" si="9"/>
        <v>Medium Performer</v>
      </c>
      <c r="N95">
        <f t="shared" si="10"/>
        <v>3.5999999999999996</v>
      </c>
      <c r="O95" t="str">
        <f t="shared" si="11"/>
        <v>Not Eligible</v>
      </c>
    </row>
    <row r="96" spans="1:15" x14ac:dyDescent="0.25">
      <c r="A96" t="str">
        <f>HR_CleanTable[[#This Row],[Employee ID]]</f>
        <v>E095</v>
      </c>
      <c r="B96" t="str">
        <f>HR_CleanTable[[#This Row],[Clean Employee Name]]</f>
        <v>Asha</v>
      </c>
      <c r="C96" t="str">
        <f>HR_CleanTable[[#This Row],[Clean Department]]</f>
        <v>SALES</v>
      </c>
      <c r="D96" t="str">
        <f>HR_CleanTable[[#This Row],[Month]]</f>
        <v>April</v>
      </c>
      <c r="E96">
        <f>HR_CleanTable[[#This Row],[Working Hours ]]</f>
        <v>8</v>
      </c>
      <c r="F96">
        <f>HR_CleanTable[[#This Row],[Overtime Hours]]</f>
        <v>3</v>
      </c>
      <c r="G96">
        <f>HR_CleanTable[[#This Row],[Tasks Completed]]</f>
        <v>20</v>
      </c>
      <c r="H96">
        <f>HR_CleanTable[[#This Row],[Target Task]]</f>
        <v>11</v>
      </c>
      <c r="I96">
        <f>HR_CleanTable[[#This Row],[Performance Score]]</f>
        <v>5</v>
      </c>
      <c r="J96" t="str">
        <f>HR_CleanTable[[#This Row],[Attendance Status]]</f>
        <v>Present</v>
      </c>
      <c r="K96" s="4">
        <f>IFERROR(G96/Performance_Sheet[[#This Row],[Target Tasks]],0)</f>
        <v>1.8181818181818181</v>
      </c>
      <c r="L96">
        <f t="shared" si="8"/>
        <v>1</v>
      </c>
      <c r="M96" t="str">
        <f t="shared" si="9"/>
        <v>Medium Performer</v>
      </c>
      <c r="N96">
        <f t="shared" si="10"/>
        <v>3.4</v>
      </c>
      <c r="O96" t="str">
        <f t="shared" si="11"/>
        <v>Not Eligible</v>
      </c>
    </row>
    <row r="97" spans="1:15" x14ac:dyDescent="0.25">
      <c r="A97" t="str">
        <f>HR_CleanTable[[#This Row],[Employee ID]]</f>
        <v>E096</v>
      </c>
      <c r="B97" t="str">
        <f>HR_CleanTable[[#This Row],[Clean Employee Name]]</f>
        <v>Kiran</v>
      </c>
      <c r="C97" t="str">
        <f>HR_CleanTable[[#This Row],[Clean Department]]</f>
        <v>SALES</v>
      </c>
      <c r="D97" t="str">
        <f>HR_CleanTable[[#This Row],[Month]]</f>
        <v>April</v>
      </c>
      <c r="E97">
        <f>HR_CleanTable[[#This Row],[Working Hours ]]</f>
        <v>0</v>
      </c>
      <c r="F97">
        <f>HR_CleanTable[[#This Row],[Overtime Hours]]</f>
        <v>0</v>
      </c>
      <c r="G97">
        <f>HR_CleanTable[[#This Row],[Tasks Completed]]</f>
        <v>0</v>
      </c>
      <c r="H97">
        <f>HR_CleanTable[[#This Row],[Target Task]]</f>
        <v>10</v>
      </c>
      <c r="I97">
        <f>HR_CleanTable[[#This Row],[Performance Score]]</f>
        <v>7</v>
      </c>
      <c r="J97" t="str">
        <f>HR_CleanTable[[#This Row],[Attendance Status]]</f>
        <v>Leave</v>
      </c>
      <c r="K97" s="4">
        <f>IFERROR(G97/Performance_Sheet[[#This Row],[Target Tasks]],0)</f>
        <v>0</v>
      </c>
      <c r="L97">
        <f t="shared" si="8"/>
        <v>0</v>
      </c>
      <c r="M97" t="str">
        <f t="shared" si="9"/>
        <v>Medium Performer</v>
      </c>
      <c r="N97">
        <f t="shared" si="10"/>
        <v>4.2</v>
      </c>
      <c r="O97" t="str">
        <f t="shared" si="11"/>
        <v>Not Eligible</v>
      </c>
    </row>
    <row r="98" spans="1:15" x14ac:dyDescent="0.25">
      <c r="A98" t="str">
        <f>HR_CleanTable[[#This Row],[Employee ID]]</f>
        <v>E097</v>
      </c>
      <c r="B98" t="str">
        <f>HR_CleanTable[[#This Row],[Clean Employee Name]]</f>
        <v>Ravi</v>
      </c>
      <c r="C98" t="str">
        <f>HR_CleanTable[[#This Row],[Clean Department]]</f>
        <v>HR</v>
      </c>
      <c r="D98" t="str">
        <f>HR_CleanTable[[#This Row],[Month]]</f>
        <v>April</v>
      </c>
      <c r="E98">
        <f>HR_CleanTable[[#This Row],[Working Hours ]]</f>
        <v>8</v>
      </c>
      <c r="F98">
        <f>HR_CleanTable[[#This Row],[Overtime Hours]]</f>
        <v>0</v>
      </c>
      <c r="G98">
        <f>HR_CleanTable[[#This Row],[Tasks Completed]]</f>
        <v>9</v>
      </c>
      <c r="H98">
        <f>HR_CleanTable[[#This Row],[Target Task]]</f>
        <v>10</v>
      </c>
      <c r="I98">
        <f>HR_CleanTable[[#This Row],[Performance Score]]</f>
        <v>7</v>
      </c>
      <c r="J98" t="str">
        <f>HR_CleanTable[[#This Row],[Attendance Status]]</f>
        <v>WFH</v>
      </c>
      <c r="K98" s="4">
        <f>IFERROR(G98/Performance_Sheet[[#This Row],[Target Tasks]],0)</f>
        <v>0.9</v>
      </c>
      <c r="L98">
        <f t="shared" si="8"/>
        <v>0</v>
      </c>
      <c r="M98" t="str">
        <f t="shared" si="9"/>
        <v>Medium Performer</v>
      </c>
      <c r="N98">
        <f t="shared" si="10"/>
        <v>4.2</v>
      </c>
      <c r="O98" t="str">
        <f t="shared" si="11"/>
        <v>Not Eligible</v>
      </c>
    </row>
    <row r="99" spans="1:15" x14ac:dyDescent="0.25">
      <c r="A99" t="str">
        <f>HR_CleanTable[[#This Row],[Employee ID]]</f>
        <v>E098</v>
      </c>
      <c r="B99" t="str">
        <f>HR_CleanTable[[#This Row],[Clean Employee Name]]</f>
        <v>Asha</v>
      </c>
      <c r="C99" t="str">
        <f>HR_CleanTable[[#This Row],[Clean Department]]</f>
        <v>HR</v>
      </c>
      <c r="D99" t="str">
        <f>HR_CleanTable[[#This Row],[Month]]</f>
        <v>April</v>
      </c>
      <c r="E99">
        <f>HR_CleanTable[[#This Row],[Working Hours ]]</f>
        <v>0</v>
      </c>
      <c r="F99">
        <f>HR_CleanTable[[#This Row],[Overtime Hours]]</f>
        <v>0</v>
      </c>
      <c r="G99">
        <f>HR_CleanTable[[#This Row],[Tasks Completed]]</f>
        <v>0</v>
      </c>
      <c r="H99">
        <f>HR_CleanTable[[#This Row],[Target Task]]</f>
        <v>14</v>
      </c>
      <c r="I99">
        <f>HR_CleanTable[[#This Row],[Performance Score]]</f>
        <v>7</v>
      </c>
      <c r="J99" t="str">
        <f>HR_CleanTable[[#This Row],[Attendance Status]]</f>
        <v>Leave</v>
      </c>
      <c r="K99" s="4">
        <f>IFERROR(G99/Performance_Sheet[[#This Row],[Target Tasks]],0)</f>
        <v>0</v>
      </c>
      <c r="L99">
        <f t="shared" si="8"/>
        <v>0</v>
      </c>
      <c r="M99" t="str">
        <f t="shared" si="9"/>
        <v>Medium Performer</v>
      </c>
      <c r="N99">
        <f t="shared" si="10"/>
        <v>4.2</v>
      </c>
      <c r="O99" t="str">
        <f t="shared" si="11"/>
        <v>Not Eligible</v>
      </c>
    </row>
    <row r="100" spans="1:15" x14ac:dyDescent="0.25">
      <c r="A100" t="str">
        <f>HR_CleanTable[[#This Row],[Employee ID]]</f>
        <v>E099</v>
      </c>
      <c r="B100" t="str">
        <f>HR_CleanTable[[#This Row],[Clean Employee Name]]</f>
        <v>Meena</v>
      </c>
      <c r="C100" t="str">
        <f>HR_CleanTable[[#This Row],[Clean Department]]</f>
        <v>IT</v>
      </c>
      <c r="D100" t="str">
        <f>HR_CleanTable[[#This Row],[Month]]</f>
        <v>April</v>
      </c>
      <c r="E100">
        <f>HR_CleanTable[[#This Row],[Working Hours ]]</f>
        <v>0</v>
      </c>
      <c r="F100">
        <f>HR_CleanTable[[#This Row],[Overtime Hours]]</f>
        <v>0</v>
      </c>
      <c r="G100">
        <f>HR_CleanTable[[#This Row],[Tasks Completed]]</f>
        <v>0</v>
      </c>
      <c r="H100">
        <f>HR_CleanTable[[#This Row],[Target Task]]</f>
        <v>13</v>
      </c>
      <c r="I100">
        <f>HR_CleanTable[[#This Row],[Performance Score]]</f>
        <v>10</v>
      </c>
      <c r="J100" t="str">
        <f>HR_CleanTable[[#This Row],[Attendance Status]]</f>
        <v>Leave</v>
      </c>
      <c r="K100" s="4">
        <f>IFERROR(G100/Performance_Sheet[[#This Row],[Target Tasks]],0)</f>
        <v>0</v>
      </c>
      <c r="L100">
        <f t="shared" si="8"/>
        <v>0</v>
      </c>
      <c r="M100" t="str">
        <f t="shared" si="9"/>
        <v>High Performer</v>
      </c>
      <c r="N100">
        <f t="shared" si="10"/>
        <v>6</v>
      </c>
      <c r="O100" t="str">
        <f t="shared" si="11"/>
        <v>Not Eligible</v>
      </c>
    </row>
    <row r="101" spans="1:15" x14ac:dyDescent="0.25">
      <c r="A101" t="str">
        <f>HR_CleanTable[[#This Row],[Employee ID]]</f>
        <v>E100</v>
      </c>
      <c r="B101" t="str">
        <f>HR_CleanTable[[#This Row],[Clean Employee Name]]</f>
        <v>Sneha</v>
      </c>
      <c r="C101" t="str">
        <f>HR_CleanTable[[#This Row],[Clean Department]]</f>
        <v>IT</v>
      </c>
      <c r="D101" t="str">
        <f>HR_CleanTable[[#This Row],[Month]]</f>
        <v>April</v>
      </c>
      <c r="E101">
        <f>HR_CleanTable[[#This Row],[Working Hours ]]</f>
        <v>8</v>
      </c>
      <c r="F101">
        <f>HR_CleanTable[[#This Row],[Overtime Hours]]</f>
        <v>1</v>
      </c>
      <c r="G101">
        <f>HR_CleanTable[[#This Row],[Tasks Completed]]</f>
        <v>16</v>
      </c>
      <c r="H101">
        <f>HR_CleanTable[[#This Row],[Target Task]]</f>
        <v>20</v>
      </c>
      <c r="I101">
        <f>HR_CleanTable[[#This Row],[Performance Score]]</f>
        <v>10</v>
      </c>
      <c r="J101" t="str">
        <f>HR_CleanTable[[#This Row],[Attendance Status]]</f>
        <v>Present</v>
      </c>
      <c r="K101" s="4">
        <f>IFERROR(G101/Performance_Sheet[[#This Row],[Target Tasks]],0)</f>
        <v>0.8</v>
      </c>
      <c r="L101">
        <f t="shared" si="8"/>
        <v>1</v>
      </c>
      <c r="M101" t="str">
        <f t="shared" si="9"/>
        <v>High Performer</v>
      </c>
      <c r="N101">
        <f t="shared" si="10"/>
        <v>6.4</v>
      </c>
      <c r="O101" t="str">
        <f t="shared" si="11"/>
        <v>Eligible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4C9D-3B9F-4558-9185-92D524209FC5}">
  <dimension ref="A1:O16"/>
  <sheetViews>
    <sheetView workbookViewId="0">
      <selection activeCell="K1" sqref="K1"/>
    </sheetView>
  </sheetViews>
  <sheetFormatPr defaultRowHeight="13.8" x14ac:dyDescent="0.25"/>
  <cols>
    <col min="1" max="1" width="24.8984375" customWidth="1"/>
    <col min="2" max="2" width="8.59765625" customWidth="1"/>
  </cols>
  <sheetData>
    <row r="1" spans="1:15" ht="15.6" x14ac:dyDescent="0.25">
      <c r="A1" s="18" t="s">
        <v>176</v>
      </c>
      <c r="B1" s="19" t="s">
        <v>177</v>
      </c>
      <c r="C1" s="6"/>
      <c r="D1" s="6"/>
      <c r="E1" s="6"/>
      <c r="F1" s="6"/>
      <c r="G1" s="6"/>
      <c r="H1" s="6"/>
      <c r="I1" s="6"/>
      <c r="J1" s="6"/>
      <c r="K1" s="6"/>
      <c r="L1" s="6"/>
      <c r="M1" s="6"/>
      <c r="N1" s="6"/>
      <c r="O1" s="7"/>
    </row>
    <row r="2" spans="1:15" x14ac:dyDescent="0.25">
      <c r="A2" t="s">
        <v>162</v>
      </c>
      <c r="B2">
        <f>COUNTA(_xlfn.UNIQUE('Performance Calculation'!A:A))</f>
        <v>102</v>
      </c>
    </row>
    <row r="3" spans="1:15" x14ac:dyDescent="0.25">
      <c r="A3" t="s">
        <v>163</v>
      </c>
      <c r="B3">
        <f>COUNTIFS('Performance Calculation'!J:J,"Present")</f>
        <v>28</v>
      </c>
    </row>
    <row r="4" spans="1:15" x14ac:dyDescent="0.25">
      <c r="A4" t="s">
        <v>164</v>
      </c>
      <c r="B4">
        <f>COUNTIF('Performance Calculation'!J:J,"Absent")</f>
        <v>19</v>
      </c>
    </row>
    <row r="5" spans="1:15" x14ac:dyDescent="0.25">
      <c r="A5" t="s">
        <v>165</v>
      </c>
      <c r="B5">
        <f>COUNTIF('Performance Calculation'!J:J,"Leave")</f>
        <v>24</v>
      </c>
    </row>
    <row r="6" spans="1:15" x14ac:dyDescent="0.25">
      <c r="A6" t="s">
        <v>174</v>
      </c>
      <c r="B6">
        <f>COUNTIF('Performance Calculation'!J:J,"WFH")</f>
        <v>29</v>
      </c>
    </row>
    <row r="7" spans="1:15" x14ac:dyDescent="0.25">
      <c r="A7" t="s">
        <v>166</v>
      </c>
      <c r="B7" s="4">
        <f>AVERAGE('Performance Calculation'!L:L)</f>
        <v>0.28000000000000003</v>
      </c>
    </row>
    <row r="8" spans="1:15" x14ac:dyDescent="0.25">
      <c r="A8" t="s">
        <v>167</v>
      </c>
      <c r="B8">
        <f>AVERAGE('Performance Calculation'!I:I)</f>
        <v>6.56</v>
      </c>
    </row>
    <row r="9" spans="1:15" x14ac:dyDescent="0.25">
      <c r="A9" t="s">
        <v>168</v>
      </c>
      <c r="B9">
        <f>SUM('Performance Calculation'!G:G)</f>
        <v>744</v>
      </c>
    </row>
    <row r="10" spans="1:15" x14ac:dyDescent="0.25">
      <c r="A10" t="s">
        <v>169</v>
      </c>
      <c r="B10">
        <f>SUM('Performance Calculation'!H:H)</f>
        <v>1507</v>
      </c>
    </row>
    <row r="11" spans="1:15" x14ac:dyDescent="0.25">
      <c r="A11" t="s">
        <v>148</v>
      </c>
      <c r="B11" s="4">
        <f>AVERAGE('Performance Calculation'!K:K)</f>
        <v>0.52551182099634108</v>
      </c>
    </row>
    <row r="12" spans="1:15" x14ac:dyDescent="0.25">
      <c r="A12" t="s">
        <v>170</v>
      </c>
      <c r="B12">
        <f>COUNTIF('Performance Calculation'!M:M,"High Performer")</f>
        <v>35</v>
      </c>
    </row>
    <row r="13" spans="1:15" x14ac:dyDescent="0.25">
      <c r="A13" t="s">
        <v>171</v>
      </c>
      <c r="B13">
        <f>COUNTIF('Performance Calculation'!M:M,"Low Performer")</f>
        <v>18</v>
      </c>
    </row>
    <row r="14" spans="1:15" x14ac:dyDescent="0.25">
      <c r="A14" t="s">
        <v>175</v>
      </c>
      <c r="B14">
        <f>COUNTIF('Performance Calculation'!M:M,"Medium Performer")</f>
        <v>47</v>
      </c>
    </row>
    <row r="15" spans="1:15" x14ac:dyDescent="0.25">
      <c r="A15" t="s">
        <v>172</v>
      </c>
      <c r="B15">
        <f>COUNTIF('Performance Calculation'!O:O,"Eligible")</f>
        <v>15</v>
      </c>
    </row>
    <row r="16" spans="1:15" x14ac:dyDescent="0.25">
      <c r="A16" t="s">
        <v>173</v>
      </c>
      <c r="B16">
        <f>SUM('Performance Calculation'!E:E)</f>
        <v>456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3F01-0A6E-4B47-9CB5-93E8E7945109}">
  <dimension ref="A1:Q19"/>
  <sheetViews>
    <sheetView zoomScaleNormal="100" workbookViewId="0">
      <selection activeCell="F17" sqref="F17"/>
    </sheetView>
  </sheetViews>
  <sheetFormatPr defaultRowHeight="13.8" x14ac:dyDescent="0.25"/>
  <cols>
    <col min="1" max="1" width="11.8984375" bestFit="1" customWidth="1"/>
    <col min="2" max="2" width="20.19921875" bestFit="1" customWidth="1"/>
    <col min="3" max="3" width="21.59765625" customWidth="1"/>
    <col min="5" max="5" width="12.5" customWidth="1"/>
    <col min="6" max="6" width="21.8984375" customWidth="1"/>
    <col min="7" max="7" width="26.59765625" bestFit="1" customWidth="1"/>
    <col min="8" max="8" width="18" bestFit="1" customWidth="1"/>
    <col min="15" max="15" width="12.5" customWidth="1"/>
    <col min="16" max="16" width="17.09765625" customWidth="1"/>
    <col min="17" max="17" width="21.8984375" customWidth="1"/>
  </cols>
  <sheetData>
    <row r="1" spans="1:17" ht="18" x14ac:dyDescent="0.35">
      <c r="A1" s="10" t="s">
        <v>178</v>
      </c>
      <c r="G1" s="10" t="s">
        <v>182</v>
      </c>
      <c r="O1" s="10" t="s">
        <v>184</v>
      </c>
    </row>
    <row r="3" spans="1:17" x14ac:dyDescent="0.25">
      <c r="A3" s="8" t="s">
        <v>179</v>
      </c>
      <c r="B3" t="s">
        <v>188</v>
      </c>
      <c r="G3" s="8" t="s">
        <v>179</v>
      </c>
      <c r="H3" t="s">
        <v>183</v>
      </c>
      <c r="O3" s="8" t="s">
        <v>179</v>
      </c>
      <c r="P3" t="s">
        <v>189</v>
      </c>
      <c r="Q3" t="s">
        <v>181</v>
      </c>
    </row>
    <row r="4" spans="1:17" x14ac:dyDescent="0.25">
      <c r="A4" s="9" t="s">
        <v>20</v>
      </c>
      <c r="B4" s="11">
        <v>6.6315789473684212</v>
      </c>
      <c r="G4" s="9" t="s">
        <v>11</v>
      </c>
      <c r="H4" s="17">
        <v>29</v>
      </c>
      <c r="O4" s="9" t="s">
        <v>28</v>
      </c>
      <c r="P4">
        <v>192</v>
      </c>
      <c r="Q4">
        <v>113</v>
      </c>
    </row>
    <row r="5" spans="1:17" x14ac:dyDescent="0.25">
      <c r="A5" s="9" t="s">
        <v>29</v>
      </c>
      <c r="B5" s="11">
        <v>6.5625</v>
      </c>
      <c r="G5" s="9" t="s">
        <v>22</v>
      </c>
      <c r="H5" s="17">
        <v>28</v>
      </c>
      <c r="O5" s="9" t="s">
        <v>44</v>
      </c>
      <c r="P5">
        <v>134</v>
      </c>
      <c r="Q5">
        <v>108</v>
      </c>
    </row>
    <row r="6" spans="1:17" x14ac:dyDescent="0.25">
      <c r="A6" s="9" t="s">
        <v>15</v>
      </c>
      <c r="B6" s="11">
        <v>6.55</v>
      </c>
      <c r="G6" s="9" t="s">
        <v>40</v>
      </c>
      <c r="H6" s="17">
        <v>24</v>
      </c>
      <c r="O6" s="9" t="s">
        <v>25</v>
      </c>
      <c r="P6">
        <v>102</v>
      </c>
      <c r="Q6">
        <v>87</v>
      </c>
    </row>
    <row r="7" spans="1:17" x14ac:dyDescent="0.25">
      <c r="A7" s="9" t="s">
        <v>8</v>
      </c>
      <c r="B7" s="11">
        <v>6.5172413793103452</v>
      </c>
      <c r="G7" s="9" t="s">
        <v>30</v>
      </c>
      <c r="H7" s="17">
        <v>19</v>
      </c>
      <c r="O7" s="9" t="s">
        <v>19</v>
      </c>
      <c r="P7">
        <v>124</v>
      </c>
      <c r="Q7">
        <v>77</v>
      </c>
    </row>
    <row r="8" spans="1:17" x14ac:dyDescent="0.25">
      <c r="A8" s="9" t="s">
        <v>180</v>
      </c>
      <c r="B8" s="11">
        <v>6.56</v>
      </c>
      <c r="G8" s="9" t="s">
        <v>180</v>
      </c>
      <c r="H8" s="17">
        <v>100</v>
      </c>
      <c r="O8" s="9" t="s">
        <v>14</v>
      </c>
      <c r="P8">
        <v>134</v>
      </c>
      <c r="Q8">
        <v>76</v>
      </c>
    </row>
    <row r="9" spans="1:17" x14ac:dyDescent="0.25">
      <c r="O9" s="9" t="s">
        <v>7</v>
      </c>
      <c r="P9">
        <v>183</v>
      </c>
      <c r="Q9">
        <v>70</v>
      </c>
    </row>
    <row r="10" spans="1:17" x14ac:dyDescent="0.25">
      <c r="O10" s="9" t="s">
        <v>36</v>
      </c>
      <c r="P10">
        <v>225</v>
      </c>
      <c r="Q10">
        <v>68</v>
      </c>
    </row>
    <row r="11" spans="1:17" x14ac:dyDescent="0.25">
      <c r="O11" s="9" t="s">
        <v>32</v>
      </c>
      <c r="P11">
        <v>175</v>
      </c>
      <c r="Q11">
        <v>56</v>
      </c>
    </row>
    <row r="12" spans="1:17" ht="18" x14ac:dyDescent="0.35">
      <c r="A12" s="10" t="s">
        <v>185</v>
      </c>
      <c r="E12" s="10" t="s">
        <v>187</v>
      </c>
      <c r="O12" s="9" t="s">
        <v>66</v>
      </c>
      <c r="P12">
        <v>100</v>
      </c>
      <c r="Q12">
        <v>47</v>
      </c>
    </row>
    <row r="13" spans="1:17" x14ac:dyDescent="0.25">
      <c r="O13" s="9" t="s">
        <v>39</v>
      </c>
      <c r="P13">
        <v>138</v>
      </c>
      <c r="Q13">
        <v>42</v>
      </c>
    </row>
    <row r="14" spans="1:17" x14ac:dyDescent="0.25">
      <c r="A14" s="8" t="s">
        <v>179</v>
      </c>
      <c r="B14" t="s">
        <v>181</v>
      </c>
      <c r="E14" s="8" t="s">
        <v>179</v>
      </c>
      <c r="F14" t="s">
        <v>181</v>
      </c>
      <c r="G14" t="s">
        <v>188</v>
      </c>
      <c r="O14" s="9" t="s">
        <v>180</v>
      </c>
      <c r="P14">
        <v>1507</v>
      </c>
      <c r="Q14">
        <v>744</v>
      </c>
    </row>
    <row r="15" spans="1:17" x14ac:dyDescent="0.25">
      <c r="A15" s="9" t="s">
        <v>190</v>
      </c>
      <c r="B15" s="17">
        <v>164</v>
      </c>
      <c r="E15" s="9" t="s">
        <v>10</v>
      </c>
      <c r="F15">
        <v>227</v>
      </c>
      <c r="G15">
        <v>6.4782608695652177</v>
      </c>
    </row>
    <row r="16" spans="1:17" x14ac:dyDescent="0.25">
      <c r="A16" s="9" t="s">
        <v>191</v>
      </c>
      <c r="B16" s="17">
        <v>235</v>
      </c>
      <c r="E16" s="9" t="s">
        <v>42</v>
      </c>
      <c r="F16">
        <v>164</v>
      </c>
      <c r="G16">
        <v>6.52</v>
      </c>
    </row>
    <row r="17" spans="1:7" x14ac:dyDescent="0.25">
      <c r="A17" s="9" t="s">
        <v>192</v>
      </c>
      <c r="B17" s="17">
        <v>193</v>
      </c>
      <c r="E17" s="9" t="s">
        <v>34</v>
      </c>
      <c r="F17">
        <v>112</v>
      </c>
      <c r="G17">
        <v>6.88</v>
      </c>
    </row>
    <row r="18" spans="1:7" x14ac:dyDescent="0.25">
      <c r="A18" s="9" t="s">
        <v>186</v>
      </c>
      <c r="B18" s="17">
        <v>152</v>
      </c>
      <c r="E18" s="9" t="s">
        <v>21</v>
      </c>
      <c r="F18">
        <v>241</v>
      </c>
      <c r="G18">
        <v>6.3703703703703702</v>
      </c>
    </row>
    <row r="19" spans="1:7" x14ac:dyDescent="0.25">
      <c r="A19" s="9" t="s">
        <v>180</v>
      </c>
      <c r="B19" s="17">
        <v>744</v>
      </c>
      <c r="E19" s="9" t="s">
        <v>180</v>
      </c>
      <c r="F19">
        <v>744</v>
      </c>
      <c r="G19">
        <v>6.56</v>
      </c>
    </row>
  </sheetData>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1FE9F-C583-4BA8-9F90-AC0E9303C4D4}">
  <dimension ref="A1:V42"/>
  <sheetViews>
    <sheetView showGridLines="0" showRowColHeaders="0" tabSelected="1" zoomScale="104" workbookViewId="0">
      <selection activeCell="L36" sqref="L36"/>
    </sheetView>
  </sheetViews>
  <sheetFormatPr defaultRowHeight="13.8" x14ac:dyDescent="0.25"/>
  <sheetData>
    <row r="1" spans="1:22" x14ac:dyDescent="0.25">
      <c r="A1" s="12"/>
      <c r="B1" s="12"/>
      <c r="C1" s="12"/>
      <c r="D1" s="12"/>
      <c r="E1" s="12"/>
      <c r="F1" s="12"/>
      <c r="G1" s="12"/>
      <c r="H1" s="12"/>
      <c r="I1" s="12"/>
      <c r="J1" s="12"/>
      <c r="K1" s="12"/>
      <c r="L1" s="12"/>
      <c r="M1" s="12"/>
      <c r="N1" s="12"/>
      <c r="O1" s="12"/>
      <c r="P1" s="12"/>
      <c r="Q1" s="12"/>
      <c r="R1" s="12"/>
      <c r="S1" s="12"/>
      <c r="T1" s="12"/>
      <c r="U1" s="12"/>
      <c r="V1" s="12"/>
    </row>
    <row r="2" spans="1:22" x14ac:dyDescent="0.25">
      <c r="A2" s="12"/>
      <c r="B2" s="12"/>
      <c r="C2" s="12"/>
      <c r="D2" s="12"/>
      <c r="E2" s="12"/>
      <c r="F2" s="12"/>
      <c r="G2" s="12"/>
      <c r="H2" s="12"/>
      <c r="I2" s="12"/>
      <c r="J2" s="12"/>
      <c r="K2" s="12"/>
      <c r="L2" s="12"/>
      <c r="M2" s="12"/>
      <c r="N2" s="12"/>
      <c r="O2" s="12"/>
      <c r="P2" s="12"/>
      <c r="Q2" s="12"/>
      <c r="R2" s="12"/>
      <c r="S2" s="12"/>
      <c r="T2" s="12"/>
      <c r="U2" s="12"/>
      <c r="V2" s="12"/>
    </row>
    <row r="3" spans="1:22" x14ac:dyDescent="0.25">
      <c r="A3" s="12"/>
      <c r="B3" s="12"/>
      <c r="C3" s="12"/>
      <c r="D3" s="12"/>
      <c r="E3" s="12"/>
      <c r="F3" s="12"/>
      <c r="G3" s="12"/>
      <c r="H3" s="12"/>
      <c r="I3" s="12"/>
      <c r="J3" s="12"/>
      <c r="K3" s="12"/>
      <c r="L3" s="12"/>
      <c r="M3" s="12"/>
      <c r="N3" s="12"/>
      <c r="O3" s="12"/>
      <c r="P3" s="12"/>
      <c r="Q3" s="12"/>
      <c r="R3" s="12"/>
      <c r="S3" s="12"/>
      <c r="T3" s="12"/>
      <c r="U3" s="12"/>
      <c r="V3" s="12"/>
    </row>
    <row r="4" spans="1:22" ht="22.8" x14ac:dyDescent="0.4">
      <c r="A4" s="12"/>
      <c r="B4" s="12"/>
      <c r="C4" s="12"/>
      <c r="D4" s="12"/>
      <c r="E4" s="12"/>
      <c r="F4" s="13"/>
      <c r="G4" s="12"/>
      <c r="H4" s="12"/>
      <c r="I4" s="12"/>
      <c r="J4" s="12"/>
      <c r="K4" s="12"/>
      <c r="L4" s="12"/>
      <c r="M4" s="12"/>
      <c r="N4" s="12"/>
      <c r="O4" s="12"/>
      <c r="P4" s="12"/>
      <c r="Q4" s="12"/>
      <c r="R4" s="12"/>
      <c r="S4" s="12"/>
      <c r="T4" s="12"/>
      <c r="U4" s="12"/>
      <c r="V4" s="12"/>
    </row>
    <row r="5" spans="1:22" ht="20.399999999999999" x14ac:dyDescent="0.35">
      <c r="A5" s="12"/>
      <c r="B5" s="12"/>
      <c r="C5" s="12"/>
      <c r="D5" s="12"/>
      <c r="E5" s="14"/>
      <c r="F5" s="14"/>
      <c r="G5" s="14"/>
      <c r="H5" s="14"/>
      <c r="I5" s="14"/>
      <c r="J5" s="12"/>
      <c r="K5" s="12"/>
      <c r="L5" s="12"/>
      <c r="M5" s="12"/>
      <c r="N5" s="12"/>
      <c r="O5" s="12"/>
      <c r="P5" s="12"/>
      <c r="Q5" s="12"/>
      <c r="R5" s="12"/>
      <c r="S5" s="12"/>
      <c r="T5" s="12"/>
      <c r="U5" s="12"/>
      <c r="V5" s="12"/>
    </row>
    <row r="6" spans="1:22" ht="18" x14ac:dyDescent="0.35">
      <c r="A6" s="12"/>
      <c r="B6" s="12"/>
      <c r="C6" s="12"/>
      <c r="D6" s="12"/>
      <c r="E6" s="15"/>
      <c r="F6" s="15"/>
      <c r="G6" s="15"/>
      <c r="H6" s="15"/>
      <c r="I6" s="16"/>
      <c r="J6" s="12"/>
      <c r="K6" s="12"/>
      <c r="L6" s="12"/>
      <c r="M6" s="12"/>
      <c r="N6" s="12"/>
      <c r="O6" s="12"/>
      <c r="P6" s="12"/>
      <c r="Q6" s="12"/>
      <c r="R6" s="12"/>
      <c r="S6" s="12"/>
      <c r="T6" s="12"/>
      <c r="U6" s="12"/>
      <c r="V6" s="12"/>
    </row>
    <row r="7" spans="1:22" x14ac:dyDescent="0.25">
      <c r="A7" s="12"/>
      <c r="B7" s="12"/>
      <c r="C7" s="12"/>
      <c r="D7" s="12"/>
      <c r="E7" s="12"/>
      <c r="F7" s="12"/>
      <c r="G7" s="12"/>
      <c r="H7" s="12"/>
      <c r="I7" s="12"/>
      <c r="J7" s="12"/>
      <c r="K7" s="12"/>
      <c r="L7" s="12"/>
      <c r="M7" s="12"/>
      <c r="N7" s="12"/>
      <c r="O7" s="12"/>
      <c r="P7" s="12"/>
      <c r="Q7" s="12"/>
      <c r="R7" s="12"/>
      <c r="S7" s="12"/>
      <c r="T7" s="12"/>
      <c r="U7" s="12"/>
      <c r="V7" s="12"/>
    </row>
    <row r="8" spans="1:22" x14ac:dyDescent="0.25">
      <c r="A8" s="12"/>
      <c r="B8" s="12"/>
      <c r="C8" s="12"/>
      <c r="D8" s="12"/>
      <c r="E8" s="12"/>
      <c r="F8" s="12"/>
      <c r="G8" s="12"/>
      <c r="H8" s="12"/>
      <c r="I8" s="12"/>
      <c r="J8" s="12"/>
      <c r="K8" s="12"/>
      <c r="L8" s="12"/>
      <c r="M8" s="12"/>
      <c r="N8" s="12"/>
      <c r="O8" s="12"/>
      <c r="P8" s="12"/>
      <c r="Q8" s="12"/>
      <c r="R8" s="12"/>
      <c r="S8" s="12"/>
      <c r="T8" s="12"/>
      <c r="U8" s="12"/>
      <c r="V8" s="12"/>
    </row>
    <row r="9" spans="1:22" x14ac:dyDescent="0.25">
      <c r="A9" s="12"/>
      <c r="B9" s="12"/>
      <c r="C9" s="12"/>
      <c r="D9" s="12"/>
      <c r="E9" s="12"/>
      <c r="F9" s="12"/>
      <c r="G9" s="12"/>
      <c r="H9" s="12"/>
      <c r="I9" s="12"/>
      <c r="J9" s="12"/>
      <c r="K9" s="12"/>
      <c r="L9" s="12"/>
      <c r="M9" s="12"/>
      <c r="N9" s="12"/>
      <c r="O9" s="12"/>
      <c r="P9" s="12"/>
      <c r="Q9" s="12"/>
      <c r="R9" s="12"/>
      <c r="S9" s="12"/>
      <c r="T9" s="12"/>
      <c r="U9" s="12"/>
      <c r="V9" s="12"/>
    </row>
    <row r="10" spans="1:22" x14ac:dyDescent="0.25">
      <c r="A10" s="12"/>
      <c r="B10" s="12"/>
      <c r="C10" s="12"/>
      <c r="D10" s="12"/>
      <c r="E10" s="12"/>
      <c r="F10" s="12"/>
      <c r="G10" s="12"/>
      <c r="H10" s="12"/>
      <c r="I10" s="12"/>
      <c r="J10" s="12"/>
      <c r="K10" s="12"/>
      <c r="L10" s="12"/>
      <c r="M10" s="12"/>
      <c r="N10" s="12"/>
      <c r="O10" s="12"/>
      <c r="P10" s="12"/>
      <c r="Q10" s="12"/>
      <c r="R10" s="12"/>
      <c r="S10" s="12"/>
      <c r="T10" s="12"/>
      <c r="U10" s="12"/>
      <c r="V10" s="12"/>
    </row>
    <row r="11" spans="1:22" x14ac:dyDescent="0.25">
      <c r="A11" s="12"/>
      <c r="B11" s="12"/>
      <c r="C11" s="12"/>
      <c r="D11" s="12"/>
      <c r="E11" s="12"/>
      <c r="F11" s="12"/>
      <c r="G11" s="12"/>
      <c r="H11" s="12"/>
      <c r="I11" s="12"/>
      <c r="J11" s="12"/>
      <c r="K11" s="12"/>
      <c r="L11" s="12"/>
      <c r="M11" s="12"/>
      <c r="N11" s="12"/>
      <c r="O11" s="12"/>
      <c r="P11" s="12"/>
      <c r="Q11" s="12"/>
      <c r="R11" s="12"/>
      <c r="S11" s="12"/>
      <c r="T11" s="12"/>
      <c r="U11" s="12"/>
      <c r="V11" s="12"/>
    </row>
    <row r="12" spans="1:22" x14ac:dyDescent="0.25">
      <c r="A12" s="12"/>
      <c r="B12" s="12"/>
      <c r="C12" s="12"/>
      <c r="D12" s="12"/>
      <c r="E12" s="12"/>
      <c r="F12" s="12"/>
      <c r="G12" s="12"/>
      <c r="H12" s="12"/>
      <c r="I12" s="12"/>
      <c r="J12" s="12"/>
      <c r="K12" s="12"/>
      <c r="L12" s="12"/>
      <c r="M12" s="12"/>
      <c r="N12" s="12"/>
      <c r="O12" s="12"/>
      <c r="P12" s="12"/>
      <c r="Q12" s="12"/>
      <c r="R12" s="12"/>
      <c r="S12" s="12"/>
      <c r="T12" s="12"/>
      <c r="U12" s="12"/>
      <c r="V12" s="12"/>
    </row>
    <row r="13" spans="1:22" x14ac:dyDescent="0.25">
      <c r="A13" s="12"/>
      <c r="B13" s="12"/>
      <c r="C13" s="12"/>
      <c r="D13" s="12"/>
      <c r="E13" s="12"/>
      <c r="F13" s="12"/>
      <c r="G13" s="12"/>
      <c r="H13" s="12"/>
      <c r="I13" s="12"/>
      <c r="J13" s="12"/>
      <c r="K13" s="12"/>
      <c r="L13" s="12"/>
      <c r="M13" s="12"/>
      <c r="N13" s="12"/>
      <c r="O13" s="12"/>
      <c r="P13" s="12"/>
      <c r="Q13" s="12"/>
      <c r="R13" s="12"/>
      <c r="S13" s="12"/>
      <c r="T13" s="12"/>
      <c r="U13" s="12"/>
      <c r="V13" s="12"/>
    </row>
    <row r="14" spans="1:22" x14ac:dyDescent="0.25">
      <c r="A14" s="12"/>
      <c r="B14" s="12"/>
      <c r="C14" s="12"/>
      <c r="D14" s="12"/>
      <c r="E14" s="12"/>
      <c r="F14" s="12"/>
      <c r="G14" s="12"/>
      <c r="H14" s="12"/>
      <c r="I14" s="12"/>
      <c r="J14" s="12"/>
      <c r="K14" s="12"/>
      <c r="L14" s="12"/>
      <c r="M14" s="12"/>
      <c r="N14" s="12"/>
      <c r="O14" s="12"/>
      <c r="P14" s="12"/>
      <c r="Q14" s="12"/>
      <c r="R14" s="12"/>
      <c r="S14" s="12"/>
      <c r="T14" s="12"/>
      <c r="U14" s="12"/>
      <c r="V14" s="12"/>
    </row>
    <row r="15" spans="1:22" x14ac:dyDescent="0.25">
      <c r="A15" s="12"/>
      <c r="B15" s="12"/>
      <c r="C15" s="12"/>
      <c r="D15" s="12"/>
      <c r="E15" s="12"/>
      <c r="F15" s="12"/>
      <c r="G15" s="12"/>
      <c r="H15" s="12"/>
      <c r="I15" s="12"/>
      <c r="J15" s="12"/>
      <c r="K15" s="12"/>
      <c r="L15" s="12"/>
      <c r="M15" s="12"/>
      <c r="N15" s="12"/>
      <c r="O15" s="12"/>
      <c r="P15" s="12"/>
      <c r="Q15" s="12"/>
      <c r="R15" s="12"/>
      <c r="S15" s="12"/>
      <c r="T15" s="12"/>
      <c r="U15" s="12"/>
      <c r="V15" s="12"/>
    </row>
    <row r="16" spans="1:22" x14ac:dyDescent="0.2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2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2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2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2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2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2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2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2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2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2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2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2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2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2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2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25">
      <c r="A32" s="12"/>
      <c r="B32" s="12"/>
      <c r="C32" s="12"/>
      <c r="D32" s="12"/>
      <c r="E32" s="12"/>
      <c r="F32" s="12"/>
      <c r="G32" s="12"/>
      <c r="H32" s="12"/>
      <c r="I32" s="12"/>
      <c r="J32" s="12"/>
      <c r="K32" s="12"/>
      <c r="L32" s="12"/>
      <c r="M32" s="12"/>
      <c r="N32" s="12"/>
      <c r="O32" s="12"/>
      <c r="P32" s="12"/>
      <c r="Q32" s="12"/>
      <c r="R32" s="12"/>
      <c r="S32" s="12"/>
      <c r="T32" s="12"/>
      <c r="U32" s="12"/>
      <c r="V32" s="12"/>
    </row>
    <row r="33" spans="1:22" x14ac:dyDescent="0.25">
      <c r="A33" s="12"/>
      <c r="B33" s="12"/>
      <c r="C33" s="12"/>
      <c r="D33" s="12"/>
      <c r="E33" s="12"/>
      <c r="F33" s="12"/>
      <c r="G33" s="12"/>
      <c r="H33" s="12"/>
      <c r="I33" s="12"/>
      <c r="J33" s="12"/>
      <c r="K33" s="12"/>
      <c r="L33" s="12"/>
      <c r="M33" s="12"/>
      <c r="N33" s="12"/>
      <c r="O33" s="12"/>
      <c r="P33" s="12"/>
      <c r="Q33" s="12"/>
      <c r="R33" s="12"/>
      <c r="S33" s="12"/>
      <c r="T33" s="12"/>
      <c r="U33" s="12"/>
      <c r="V33" s="12"/>
    </row>
    <row r="34" spans="1:22" x14ac:dyDescent="0.25">
      <c r="A34" s="12"/>
      <c r="B34" s="12"/>
      <c r="C34" s="12"/>
      <c r="D34" s="12"/>
      <c r="E34" s="12"/>
      <c r="F34" s="12"/>
      <c r="G34" s="12"/>
      <c r="H34" s="12"/>
      <c r="I34" s="12"/>
      <c r="J34" s="12"/>
      <c r="K34" s="12"/>
      <c r="L34" s="12"/>
      <c r="M34" s="12"/>
      <c r="N34" s="12"/>
      <c r="O34" s="12"/>
      <c r="P34" s="12"/>
      <c r="Q34" s="12"/>
      <c r="R34" s="12"/>
      <c r="S34" s="12"/>
      <c r="T34" s="12"/>
      <c r="U34" s="12"/>
      <c r="V34" s="12"/>
    </row>
    <row r="35" spans="1:22" x14ac:dyDescent="0.25">
      <c r="A35" s="12"/>
      <c r="B35" s="12"/>
      <c r="C35" s="12"/>
      <c r="D35" s="12"/>
      <c r="E35" s="12"/>
      <c r="F35" s="12"/>
      <c r="G35" s="12"/>
      <c r="H35" s="12"/>
      <c r="I35" s="12"/>
      <c r="J35" s="12"/>
      <c r="K35" s="12"/>
      <c r="L35" s="12"/>
      <c r="M35" s="12"/>
      <c r="N35" s="12"/>
      <c r="O35" s="12"/>
      <c r="P35" s="12"/>
      <c r="Q35" s="12"/>
      <c r="R35" s="12"/>
      <c r="S35" s="12"/>
      <c r="T35" s="12"/>
      <c r="U35" s="12"/>
      <c r="V35" s="12"/>
    </row>
    <row r="36" spans="1:22" x14ac:dyDescent="0.25">
      <c r="A36" s="12"/>
      <c r="B36" s="12"/>
      <c r="C36" s="12"/>
      <c r="D36" s="12"/>
      <c r="E36" s="12"/>
      <c r="F36" s="12"/>
      <c r="G36" s="12"/>
      <c r="H36" s="12"/>
      <c r="I36" s="12"/>
      <c r="J36" s="12"/>
      <c r="K36" s="12"/>
      <c r="L36" s="12"/>
      <c r="M36" s="12"/>
      <c r="N36" s="12"/>
      <c r="O36" s="12"/>
      <c r="P36" s="12"/>
      <c r="Q36" s="12"/>
      <c r="R36" s="12"/>
      <c r="S36" s="12"/>
      <c r="T36" s="12"/>
      <c r="U36" s="12"/>
      <c r="V36" s="12"/>
    </row>
    <row r="37" spans="1:22" x14ac:dyDescent="0.25">
      <c r="A37" s="12"/>
      <c r="B37" s="12"/>
      <c r="C37" s="12"/>
      <c r="D37" s="12"/>
      <c r="E37" s="12"/>
      <c r="F37" s="12"/>
      <c r="G37" s="12"/>
      <c r="H37" s="12"/>
      <c r="I37" s="12"/>
      <c r="J37" s="12"/>
      <c r="K37" s="12"/>
      <c r="L37" s="12"/>
      <c r="M37" s="12"/>
      <c r="N37" s="12"/>
      <c r="O37" s="12"/>
      <c r="P37" s="12"/>
      <c r="Q37" s="12"/>
      <c r="R37" s="12"/>
      <c r="S37" s="12"/>
      <c r="T37" s="12"/>
      <c r="U37" s="12"/>
      <c r="V37" s="12"/>
    </row>
    <row r="38" spans="1:22" x14ac:dyDescent="0.25">
      <c r="A38" s="12"/>
      <c r="B38" s="12"/>
      <c r="C38" s="12"/>
      <c r="D38" s="12"/>
      <c r="E38" s="12"/>
      <c r="F38" s="12"/>
      <c r="G38" s="12"/>
      <c r="H38" s="12"/>
      <c r="I38" s="12"/>
      <c r="J38" s="12"/>
      <c r="K38" s="12"/>
      <c r="L38" s="12"/>
      <c r="M38" s="12"/>
      <c r="N38" s="12"/>
      <c r="O38" s="12"/>
      <c r="P38" s="12"/>
      <c r="Q38" s="12"/>
      <c r="R38" s="12"/>
      <c r="S38" s="12"/>
      <c r="T38" s="12"/>
      <c r="U38" s="12"/>
      <c r="V38" s="12"/>
    </row>
    <row r="39" spans="1:22" x14ac:dyDescent="0.25">
      <c r="A39" s="12"/>
      <c r="B39" s="12"/>
      <c r="C39" s="12"/>
      <c r="D39" s="12"/>
      <c r="E39" s="12"/>
      <c r="F39" s="12"/>
      <c r="G39" s="12"/>
      <c r="H39" s="12"/>
      <c r="I39" s="12"/>
      <c r="J39" s="12"/>
      <c r="K39" s="12"/>
      <c r="L39" s="12"/>
      <c r="M39" s="12"/>
      <c r="N39" s="12"/>
      <c r="O39" s="12"/>
      <c r="P39" s="12"/>
      <c r="Q39" s="12"/>
      <c r="R39" s="12"/>
      <c r="S39" s="12"/>
      <c r="T39" s="12"/>
      <c r="U39" s="12"/>
      <c r="V39" s="12"/>
    </row>
    <row r="40" spans="1:22" x14ac:dyDescent="0.25">
      <c r="A40" s="12"/>
      <c r="B40" s="12"/>
      <c r="C40" s="12"/>
      <c r="D40" s="12"/>
      <c r="E40" s="12"/>
      <c r="F40" s="12"/>
      <c r="G40" s="12"/>
      <c r="H40" s="12"/>
      <c r="I40" s="12"/>
      <c r="J40" s="12"/>
      <c r="K40" s="12"/>
      <c r="L40" s="12"/>
      <c r="M40" s="12"/>
      <c r="N40" s="12"/>
      <c r="O40" s="12"/>
      <c r="P40" s="12"/>
      <c r="Q40" s="12"/>
      <c r="R40" s="12"/>
      <c r="S40" s="12"/>
      <c r="T40" s="12"/>
      <c r="U40" s="12"/>
      <c r="V40" s="12"/>
    </row>
    <row r="41" spans="1:22" x14ac:dyDescent="0.25">
      <c r="A41" s="12"/>
      <c r="B41" s="12"/>
      <c r="C41" s="12"/>
      <c r="D41" s="12"/>
      <c r="E41" s="12"/>
      <c r="F41" s="12"/>
      <c r="G41" s="12"/>
      <c r="H41" s="12"/>
      <c r="I41" s="12"/>
      <c r="J41" s="12"/>
      <c r="K41" s="12"/>
      <c r="L41" s="12"/>
      <c r="M41" s="12"/>
      <c r="N41" s="12"/>
      <c r="O41" s="12"/>
      <c r="P41" s="12"/>
      <c r="Q41" s="12"/>
      <c r="R41" s="12"/>
      <c r="S41" s="12"/>
      <c r="T41" s="12"/>
      <c r="U41" s="12"/>
      <c r="V41" s="12"/>
    </row>
    <row r="42" spans="1:22" x14ac:dyDescent="0.25">
      <c r="A42" s="12"/>
      <c r="B42" s="12"/>
      <c r="C42" s="12"/>
      <c r="D42" s="12"/>
      <c r="E42" s="12"/>
      <c r="F42" s="12"/>
      <c r="G42" s="12"/>
      <c r="H42" s="12"/>
      <c r="I42" s="12"/>
      <c r="J42" s="12"/>
      <c r="K42" s="12"/>
      <c r="L42" s="12"/>
      <c r="M42" s="12"/>
      <c r="N42" s="12"/>
      <c r="O42" s="12"/>
      <c r="P42" s="12"/>
      <c r="Q42" s="12"/>
      <c r="R42" s="12"/>
      <c r="S42" s="12"/>
      <c r="T42" s="12"/>
      <c r="U42" s="12"/>
      <c r="V42"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 </vt:lpstr>
      <vt:lpstr>Performance Calculation</vt:lpstr>
      <vt:lpstr>KPI_Summary</vt:lpstr>
      <vt:lpstr>Department Performance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Santosh</dc:creator>
  <cp:lastModifiedBy>Hemalatha Dodla</cp:lastModifiedBy>
  <dcterms:created xsi:type="dcterms:W3CDTF">2026-04-11T17:21:30Z</dcterms:created>
  <dcterms:modified xsi:type="dcterms:W3CDTF">2026-04-14T08:29:07Z</dcterms:modified>
</cp:coreProperties>
</file>